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rives compartilhados\DESENVOLVIMENTO\EQUIPE\ITALO CUELLAS\Projeto - automação Amortecedores\"/>
    </mc:Choice>
  </mc:AlternateContent>
  <bookViews>
    <workbookView xWindow="0" yWindow="0" windowWidth="28800" windowHeight="12015"/>
  </bookViews>
  <sheets>
    <sheet name="Planilha1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2" l="1"/>
  <c r="H16" i="2" s="1"/>
  <c r="E16" i="2"/>
  <c r="F15" i="2"/>
  <c r="H15" i="2" s="1"/>
  <c r="E15" i="2"/>
  <c r="F14" i="2"/>
  <c r="H14" i="2" s="1"/>
  <c r="E14" i="2"/>
  <c r="F13" i="2"/>
  <c r="H13" i="2" s="1"/>
  <c r="E13" i="2"/>
  <c r="F12" i="2"/>
  <c r="H12" i="2" s="1"/>
  <c r="E12" i="2"/>
  <c r="F5" i="2" l="1"/>
  <c r="F6" i="2"/>
  <c r="F7" i="2"/>
  <c r="F4" i="2"/>
  <c r="F3" i="2"/>
  <c r="E4" i="2"/>
  <c r="E5" i="2"/>
  <c r="E6" i="2"/>
  <c r="E7" i="2"/>
  <c r="E3" i="2"/>
  <c r="H4" i="2" l="1"/>
  <c r="H7" i="2"/>
  <c r="H3" i="2"/>
  <c r="H6" i="2"/>
  <c r="H5" i="2"/>
</calcChain>
</file>

<file path=xl/sharedStrings.xml><?xml version="1.0" encoding="utf-8"?>
<sst xmlns="http://schemas.openxmlformats.org/spreadsheetml/2006/main" count="16" uniqueCount="10">
  <si>
    <t>VM/S</t>
  </si>
  <si>
    <t>DRAWING</t>
  </si>
  <si>
    <t>Pf (N) min</t>
  </si>
  <si>
    <t>Pf (N) Max</t>
  </si>
  <si>
    <t>FOUND</t>
  </si>
  <si>
    <t>PERFECT
STANDARD</t>
  </si>
  <si>
    <t>RESULT</t>
  </si>
  <si>
    <t>DAMPING FORCE CALCULATION</t>
  </si>
  <si>
    <t>Py (N) min</t>
  </si>
  <si>
    <t>Py (N)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</si>
</sst>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0" fontId="4" fillId="0" borderId="0" xfId="0" quotePrefix="1" applyFont="1"/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6"/>
  <sheetViews>
    <sheetView showGridLines="0" tabSelected="1" zoomScale="130" zoomScaleNormal="130" workbookViewId="0">
      <selection activeCell="I7" sqref="I7"/>
    </sheetView>
  </sheetViews>
  <sheetFormatPr defaultRowHeight="15" x14ac:dyDescent="0.25"/>
  <cols>
    <col min="1" max="1" width="12.85546875" customWidth="1"/>
    <col min="2" max="2" width="12.5703125" customWidth="1"/>
    <col min="4" max="4" width="9.85546875" bestFit="1" customWidth="1"/>
    <col min="5" max="5" width="10" bestFit="1" customWidth="1"/>
    <col min="6" max="6" width="10.28515625" bestFit="1" customWidth="1"/>
    <col min="8" max="8" width="11.42578125" bestFit="1" customWidth="1"/>
  </cols>
  <sheetData>
    <row r="1" spans="2:8" ht="28.5" x14ac:dyDescent="0.45">
      <c r="B1" s="9" t="s">
        <v>7</v>
      </c>
    </row>
    <row r="2" spans="2:8" s="1" customFormat="1" ht="30.75" thickBot="1" x14ac:dyDescent="0.3">
      <c r="B2" s="10" t="s">
        <v>5</v>
      </c>
      <c r="C2" s="6" t="s">
        <v>0</v>
      </c>
      <c r="D2" s="6" t="s">
        <v>1</v>
      </c>
      <c r="E2" s="5" t="s">
        <v>2</v>
      </c>
      <c r="F2" s="5" t="s">
        <v>3</v>
      </c>
      <c r="G2" s="5" t="s">
        <v>4</v>
      </c>
      <c r="H2" s="6" t="s">
        <v>6</v>
      </c>
    </row>
    <row r="3" spans="2:8" ht="15.75" thickTop="1" x14ac:dyDescent="0.25">
      <c r="B3" s="8">
        <v>0.3</v>
      </c>
      <c r="C3" s="2">
        <v>7.9000000000000001E-2</v>
      </c>
      <c r="D3" s="2"/>
      <c r="E3" s="2">
        <f>IF(D3&lt;1000,(D3*(1-B3))+30,D3*(1-B3))</f>
        <v>30</v>
      </c>
      <c r="F3" s="2">
        <f>IF(D3&lt;1000,(D3*(1+B3))-30,D3*(1+B3))</f>
        <v>-30</v>
      </c>
      <c r="G3" s="2"/>
      <c r="H3" s="3" t="str">
        <f>IF(AND(F3&gt;=G3,E3&lt;=G3),"APPROVED","DISAPPROVED")</f>
        <v>DISAPPROVED</v>
      </c>
    </row>
    <row r="4" spans="2:8" x14ac:dyDescent="0.25">
      <c r="B4" s="7">
        <v>0.25</v>
      </c>
      <c r="C4" s="4">
        <v>0.157</v>
      </c>
      <c r="D4" s="4"/>
      <c r="E4" s="4">
        <f t="shared" ref="E4:E7" si="0">IF(D4&lt;1000,(D4*(1-B4))+30,D4*(1-B4))</f>
        <v>30</v>
      </c>
      <c r="F4" s="4">
        <f>IF(D4&lt;1000,(D4*(1+B4))-30,D4*(1+B4))</f>
        <v>-30</v>
      </c>
      <c r="G4" s="4"/>
      <c r="H4" s="3" t="str">
        <f t="shared" ref="H4:H7" si="1">IF(AND(F4&gt;=-G4,E4&lt;=G4),"APPROVED","DISAPPROVED")</f>
        <v>DISAPPROVED</v>
      </c>
    </row>
    <row r="5" spans="2:8" x14ac:dyDescent="0.25">
      <c r="B5" s="7">
        <v>0.15</v>
      </c>
      <c r="C5" s="4">
        <v>0.314</v>
      </c>
      <c r="D5" s="4"/>
      <c r="E5" s="4">
        <f t="shared" si="0"/>
        <v>30</v>
      </c>
      <c r="F5" s="4">
        <f t="shared" ref="F5:F7" si="2">IF(D5&lt;1000,(D5*(1+B5))-30,D5*(1+B5))</f>
        <v>-30</v>
      </c>
      <c r="G5" s="4"/>
      <c r="H5" s="3" t="str">
        <f t="shared" si="1"/>
        <v>DISAPPROVED</v>
      </c>
    </row>
    <row r="6" spans="2:8" x14ac:dyDescent="0.25">
      <c r="B6" s="7">
        <v>0.15</v>
      </c>
      <c r="C6" s="4">
        <v>0.52</v>
      </c>
      <c r="D6" s="4"/>
      <c r="E6" s="4">
        <f t="shared" si="0"/>
        <v>30</v>
      </c>
      <c r="F6" s="4">
        <f t="shared" si="2"/>
        <v>-30</v>
      </c>
      <c r="G6" s="4"/>
      <c r="H6" s="3" t="str">
        <f t="shared" si="1"/>
        <v>DISAPPROVED</v>
      </c>
    </row>
    <row r="7" spans="2:8" x14ac:dyDescent="0.25">
      <c r="B7" s="7">
        <v>0.15</v>
      </c>
      <c r="C7" s="4">
        <v>0.75</v>
      </c>
      <c r="D7" s="4"/>
      <c r="E7" s="4">
        <f t="shared" si="0"/>
        <v>30</v>
      </c>
      <c r="F7" s="4">
        <f t="shared" si="2"/>
        <v>-30</v>
      </c>
      <c r="G7" s="4"/>
      <c r="H7" s="3" t="str">
        <f t="shared" si="1"/>
        <v>DISAPPROVED</v>
      </c>
    </row>
    <row r="10" spans="2:8" ht="28.5" x14ac:dyDescent="0.45">
      <c r="B10" s="9" t="s">
        <v>7</v>
      </c>
    </row>
    <row r="11" spans="2:8" ht="30.75" thickBot="1" x14ac:dyDescent="0.3">
      <c r="B11" s="10" t="s">
        <v>5</v>
      </c>
      <c r="C11" s="6" t="s">
        <v>0</v>
      </c>
      <c r="D11" s="6" t="s">
        <v>1</v>
      </c>
      <c r="E11" s="5" t="s">
        <v>8</v>
      </c>
      <c r="F11" s="5" t="s">
        <v>9</v>
      </c>
      <c r="G11" s="5" t="s">
        <v>4</v>
      </c>
      <c r="H11" s="6" t="s">
        <v>6</v>
      </c>
    </row>
    <row r="12" spans="2:8" ht="15.75" thickTop="1" x14ac:dyDescent="0.25">
      <c r="B12" s="8">
        <v>0.3</v>
      </c>
      <c r="C12" s="2">
        <v>7.9000000000000001E-2</v>
      </c>
      <c r="D12" s="2"/>
      <c r="E12" s="2">
        <f>IF(D12&lt;1000,(D12*(1-B12))+30,D12*(1-B12))</f>
        <v>30</v>
      </c>
      <c r="F12" s="2">
        <f>IF(D12&lt;1000,(D12*(1+B12))-30,D12*(1+B12))</f>
        <v>-30</v>
      </c>
      <c r="G12" s="2"/>
      <c r="H12" s="3" t="str">
        <f>IF(AND(F12&gt;=G12,E12&lt;=G12),"APPROVED","DISAPPROVED")</f>
        <v>DISAPPROVED</v>
      </c>
    </row>
    <row r="13" spans="2:8" x14ac:dyDescent="0.25">
      <c r="B13" s="7">
        <v>0.25</v>
      </c>
      <c r="C13" s="4">
        <v>0.157</v>
      </c>
      <c r="D13" s="4"/>
      <c r="E13" s="4">
        <f t="shared" ref="E13:E16" si="3">IF(D13&lt;1000,(D13*(1-B13))+30,D13*(1-B13))</f>
        <v>30</v>
      </c>
      <c r="F13" s="4">
        <f>IF(D13&lt;1000,(D13*(1+B13))-30,D13*(1+B13))</f>
        <v>-30</v>
      </c>
      <c r="G13" s="4"/>
      <c r="H13" s="3" t="str">
        <f t="shared" ref="H13:H16" si="4">IF(AND(F13&gt;=-G13,E13&lt;=G13),"APPROVED","DISAPPROVED")</f>
        <v>DISAPPROVED</v>
      </c>
    </row>
    <row r="14" spans="2:8" x14ac:dyDescent="0.25">
      <c r="B14" s="7">
        <v>0.15</v>
      </c>
      <c r="C14" s="4">
        <v>0.314</v>
      </c>
      <c r="D14" s="4"/>
      <c r="E14" s="4">
        <f t="shared" si="3"/>
        <v>30</v>
      </c>
      <c r="F14" s="4">
        <f t="shared" ref="F14:F16" si="5">IF(D14&lt;1000,(D14*(1+B14))-30,D14*(1+B14))</f>
        <v>-30</v>
      </c>
      <c r="G14" s="4"/>
      <c r="H14" s="3" t="str">
        <f t="shared" si="4"/>
        <v>DISAPPROVED</v>
      </c>
    </row>
    <row r="15" spans="2:8" x14ac:dyDescent="0.25">
      <c r="B15" s="7">
        <v>0.15</v>
      </c>
      <c r="C15" s="4">
        <v>0.52</v>
      </c>
      <c r="D15" s="4"/>
      <c r="E15" s="4">
        <f t="shared" si="3"/>
        <v>30</v>
      </c>
      <c r="F15" s="4">
        <f t="shared" si="5"/>
        <v>-30</v>
      </c>
      <c r="G15" s="4"/>
      <c r="H15" s="3" t="str">
        <f t="shared" si="4"/>
        <v>DISAPPROVED</v>
      </c>
    </row>
    <row r="16" spans="2:8" x14ac:dyDescent="0.25">
      <c r="B16" s="7">
        <v>0.15</v>
      </c>
      <c r="C16" s="4">
        <v>0.75</v>
      </c>
      <c r="D16" s="4"/>
      <c r="E16" s="4">
        <f t="shared" si="3"/>
        <v>30</v>
      </c>
      <c r="F16" s="4">
        <f t="shared" si="5"/>
        <v>-30</v>
      </c>
      <c r="G16" s="4"/>
      <c r="H16" s="3" t="str">
        <f t="shared" si="4"/>
        <v>DISAPPROVED</v>
      </c>
    </row>
  </sheetData>
  <conditionalFormatting sqref="H1 H3:H9 H17:H1048576">
    <cfRule type="containsText" dxfId="5" priority="3" operator="containsText" text="DISAPPROVED">
      <formula>NOT(ISERROR(SEARCH("DISAPPROVED",H1)))</formula>
    </cfRule>
    <cfRule type="containsText" dxfId="4" priority="4" operator="containsText" text="APPROVED">
      <formula>NOT(ISERROR(SEARCH("APPROVED",H1)))</formula>
    </cfRule>
  </conditionalFormatting>
  <conditionalFormatting sqref="H10 H12:H16">
    <cfRule type="containsText" dxfId="3" priority="1" operator="containsText" text="DISAPPROVED">
      <formula>NOT(ISERROR(SEARCH("DISAPPROVED",H10)))</formula>
    </cfRule>
    <cfRule type="containsText" dxfId="2" priority="2" operator="containsText" text="APPROVED">
      <formula>NOT(ISERROR(SEARCH("APPROVED",H10)))</formula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Santos da Silva</dc:creator>
  <cp:lastModifiedBy>Italo Freire Cuellas</cp:lastModifiedBy>
  <dcterms:created xsi:type="dcterms:W3CDTF">2015-06-05T18:19:34Z</dcterms:created>
  <dcterms:modified xsi:type="dcterms:W3CDTF">2026-10-16T19:02:30Z</dcterms:modified>
</cp:coreProperties>
</file>