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Drives compartilhados\DESENVOLVIMENTO\EQUIPE\ITALO CUELLAS\Projeto - automação Amortecedores\"/>
    </mc:Choice>
  </mc:AlternateContent>
  <bookViews>
    <workbookView xWindow="0" yWindow="0" windowWidth="28800" windowHeight="12015"/>
  </bookViews>
  <sheets>
    <sheet name="Compra Amostra" sheetId="2" r:id="rId1"/>
  </sheets>
  <externalReferences>
    <externalReference r:id="rId2"/>
    <externalReference r:id="rId3"/>
  </externalReferences>
  <definedNames>
    <definedName name="_xlnm._FilterDatabase" localSheetId="0" hidden="1">'Compra Amostra'!$A$18:$Y$118</definedName>
    <definedName name="Categorias_Semanais">#REF!</definedName>
    <definedName name="SegmentaçãodeDados_ENVIAR1">#N/A</definedName>
    <definedName name="SegmentaçãodeDados_PENDENTE_DES._FORN">#N/A</definedName>
    <definedName name="Status_Semanais">[2]!Tabela1[Status]</definedName>
  </definedNames>
  <calcPr calcId="152511" iterateDelta="1E-4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  <x14:slicerCache r:id="rId5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18" i="2" l="1"/>
  <c r="Y118" i="2" s="1"/>
  <c r="L118" i="2"/>
  <c r="X117" i="2"/>
  <c r="Y117" i="2" s="1"/>
  <c r="W117" i="2"/>
  <c r="L117" i="2"/>
  <c r="Y116" i="2"/>
  <c r="X116" i="2"/>
  <c r="W116" i="2"/>
  <c r="L116" i="2"/>
  <c r="X115" i="2"/>
  <c r="Y115" i="2" s="1"/>
  <c r="L115" i="2"/>
  <c r="X114" i="2"/>
  <c r="Y114" i="2" s="1"/>
  <c r="L114" i="2"/>
  <c r="Y113" i="2"/>
  <c r="X113" i="2"/>
  <c r="L113" i="2"/>
  <c r="X112" i="2"/>
  <c r="Y112" i="2" s="1"/>
  <c r="W112" i="2"/>
  <c r="L112" i="2"/>
  <c r="X111" i="2"/>
  <c r="Y111" i="2" s="1"/>
  <c r="W111" i="2"/>
  <c r="L111" i="2"/>
  <c r="X110" i="2"/>
  <c r="Y110" i="2" s="1"/>
  <c r="W110" i="2"/>
  <c r="L110" i="2"/>
  <c r="X109" i="2"/>
  <c r="Y109" i="2" s="1"/>
  <c r="W109" i="2"/>
  <c r="L109" i="2"/>
  <c r="X108" i="2"/>
  <c r="Y108" i="2" s="1"/>
  <c r="L108" i="2"/>
  <c r="Y107" i="2"/>
  <c r="X107" i="2"/>
  <c r="L107" i="2"/>
  <c r="Y106" i="2"/>
  <c r="X106" i="2"/>
  <c r="L106" i="2"/>
  <c r="Y105" i="2"/>
  <c r="X105" i="2"/>
  <c r="L105" i="2"/>
  <c r="X104" i="2"/>
  <c r="Y104" i="2" s="1"/>
  <c r="L104" i="2"/>
  <c r="X103" i="2"/>
  <c r="Y103" i="2" s="1"/>
  <c r="L103" i="2"/>
  <c r="X102" i="2"/>
  <c r="Y102" i="2" s="1"/>
  <c r="L102" i="2"/>
  <c r="Y101" i="2"/>
  <c r="X101" i="2"/>
  <c r="L101" i="2"/>
  <c r="X100" i="2"/>
  <c r="Y100" i="2" s="1"/>
  <c r="L100" i="2"/>
  <c r="Y99" i="2"/>
  <c r="X99" i="2"/>
  <c r="L99" i="2"/>
  <c r="Y98" i="2"/>
  <c r="X98" i="2"/>
  <c r="L98" i="2"/>
  <c r="Y97" i="2"/>
  <c r="X97" i="2"/>
  <c r="L97" i="2"/>
  <c r="Y96" i="2"/>
  <c r="L96" i="2"/>
  <c r="Y95" i="2"/>
  <c r="L95" i="2"/>
  <c r="X94" i="2"/>
  <c r="Y94" i="2" s="1"/>
  <c r="L94" i="2"/>
  <c r="Y93" i="2"/>
  <c r="X93" i="2"/>
  <c r="L93" i="2"/>
  <c r="Y92" i="2"/>
  <c r="X92" i="2"/>
  <c r="L92" i="2"/>
  <c r="Y91" i="2"/>
  <c r="X91" i="2"/>
  <c r="L91" i="2"/>
  <c r="L90" i="2"/>
  <c r="L89" i="2"/>
  <c r="L88" i="2"/>
  <c r="X87" i="2"/>
  <c r="Y87" i="2" s="1"/>
  <c r="L87" i="2"/>
  <c r="X86" i="2"/>
  <c r="Y86" i="2" s="1"/>
  <c r="L86" i="2"/>
  <c r="Y85" i="2"/>
  <c r="X85" i="2"/>
  <c r="L85" i="2"/>
  <c r="X84" i="2"/>
  <c r="Y84" i="2" s="1"/>
  <c r="L84" i="2"/>
  <c r="Y83" i="2"/>
  <c r="X83" i="2"/>
  <c r="L83" i="2"/>
  <c r="Y82" i="2"/>
  <c r="X82" i="2"/>
  <c r="L82" i="2"/>
  <c r="Y81" i="2"/>
  <c r="X81" i="2"/>
  <c r="L81" i="2"/>
  <c r="Y80" i="2"/>
  <c r="L80" i="2"/>
  <c r="Y79" i="2"/>
  <c r="X79" i="2"/>
  <c r="L79" i="2"/>
  <c r="Y78" i="2"/>
  <c r="X78" i="2"/>
  <c r="L78" i="2"/>
  <c r="X77" i="2"/>
  <c r="Y77" i="2" s="1"/>
  <c r="L77" i="2"/>
  <c r="X76" i="2"/>
  <c r="Y76" i="2" s="1"/>
  <c r="L76" i="2"/>
  <c r="X75" i="2"/>
  <c r="Y75" i="2" s="1"/>
  <c r="L75" i="2"/>
  <c r="Y74" i="2"/>
  <c r="X74" i="2"/>
  <c r="L74" i="2"/>
  <c r="X73" i="2"/>
  <c r="Y73" i="2" s="1"/>
  <c r="L73" i="2"/>
  <c r="Y72" i="2"/>
  <c r="L71" i="2"/>
  <c r="L70" i="2"/>
  <c r="X69" i="2"/>
  <c r="L69" i="2"/>
  <c r="X68" i="2"/>
  <c r="L68" i="2"/>
  <c r="X67" i="2"/>
  <c r="Y67" i="2" s="1"/>
  <c r="L67" i="2"/>
  <c r="Y66" i="2"/>
  <c r="X66" i="2"/>
  <c r="L66" i="2"/>
  <c r="X65" i="2"/>
  <c r="Y65" i="2" s="1"/>
  <c r="L65" i="2"/>
  <c r="Y64" i="2"/>
  <c r="X64" i="2"/>
  <c r="L64" i="2"/>
  <c r="Y63" i="2"/>
  <c r="X63" i="2"/>
  <c r="L63" i="2"/>
  <c r="Y62" i="2"/>
  <c r="X62" i="2"/>
  <c r="L62" i="2"/>
  <c r="X61" i="2"/>
  <c r="Y61" i="2" s="1"/>
  <c r="L61" i="2"/>
  <c r="X60" i="2"/>
  <c r="Y60" i="2" s="1"/>
  <c r="L60" i="2"/>
  <c r="X59" i="2"/>
  <c r="Y59" i="2" s="1"/>
  <c r="L59" i="2"/>
  <c r="Y58" i="2"/>
  <c r="L58" i="2"/>
  <c r="X57" i="2"/>
  <c r="Y57" i="2" s="1"/>
  <c r="L57" i="2"/>
  <c r="X56" i="2"/>
  <c r="Y56" i="2" s="1"/>
  <c r="L56" i="2"/>
  <c r="Y55" i="2"/>
  <c r="X55" i="2"/>
  <c r="L55" i="2"/>
  <c r="Y54" i="2"/>
  <c r="L54" i="2"/>
  <c r="X53" i="2"/>
  <c r="Y53" i="2" s="1"/>
  <c r="L53" i="2"/>
  <c r="Y52" i="2"/>
  <c r="X52" i="2"/>
  <c r="L52" i="2"/>
  <c r="X51" i="2"/>
  <c r="Y51" i="2" s="1"/>
  <c r="L51" i="2"/>
  <c r="X50" i="2"/>
  <c r="L50" i="2"/>
  <c r="X49" i="2"/>
  <c r="L49" i="2"/>
  <c r="X48" i="2"/>
  <c r="Y48" i="2" s="1"/>
  <c r="L48" i="2"/>
  <c r="X47" i="2"/>
  <c r="Y47" i="2" s="1"/>
  <c r="O11" i="2" s="1"/>
  <c r="M14" i="2" s="1"/>
  <c r="L47" i="2"/>
  <c r="Y46" i="2"/>
  <c r="X46" i="2"/>
  <c r="L46" i="2"/>
  <c r="X45" i="2"/>
  <c r="Y45" i="2" s="1"/>
  <c r="L45" i="2"/>
  <c r="Y44" i="2"/>
  <c r="X44" i="2"/>
  <c r="L44" i="2"/>
  <c r="X43" i="2"/>
  <c r="L43" i="2"/>
  <c r="X42" i="2"/>
  <c r="L42" i="2"/>
  <c r="X41" i="2"/>
  <c r="Y41" i="2" s="1"/>
  <c r="L41" i="2"/>
  <c r="Y40" i="2"/>
  <c r="L40" i="2"/>
  <c r="Y39" i="2"/>
  <c r="L39" i="2"/>
  <c r="Y38" i="2"/>
  <c r="X38" i="2"/>
  <c r="L38" i="2"/>
  <c r="X37" i="2"/>
  <c r="Y37" i="2" s="1"/>
  <c r="L37" i="2"/>
  <c r="L36" i="2"/>
  <c r="L35" i="2"/>
  <c r="Y34" i="2"/>
  <c r="L34" i="2"/>
  <c r="Y33" i="2"/>
  <c r="L33" i="2"/>
  <c r="Y32" i="2"/>
  <c r="X32" i="2"/>
  <c r="L32" i="2"/>
  <c r="X31" i="2"/>
  <c r="Y31" i="2" s="1"/>
  <c r="O9" i="2" s="1"/>
  <c r="L31" i="2"/>
  <c r="Y30" i="2"/>
  <c r="X30" i="2"/>
  <c r="L30" i="2"/>
  <c r="Y29" i="2"/>
  <c r="X29" i="2"/>
  <c r="L29" i="2"/>
  <c r="Y28" i="2"/>
  <c r="X28" i="2"/>
  <c r="L28" i="2"/>
  <c r="X27" i="2"/>
  <c r="Y27" i="2" s="1"/>
  <c r="L27" i="2"/>
  <c r="X26" i="2"/>
  <c r="Y26" i="2" s="1"/>
  <c r="L26" i="2"/>
  <c r="X25" i="2"/>
  <c r="Y25" i="2" s="1"/>
  <c r="L25" i="2"/>
  <c r="Y24" i="2"/>
  <c r="X24" i="2"/>
  <c r="L24" i="2"/>
  <c r="X23" i="2"/>
  <c r="Y23" i="2" s="1"/>
  <c r="L23" i="2"/>
  <c r="Y22" i="2"/>
  <c r="X22" i="2"/>
  <c r="L22" i="2"/>
  <c r="Y21" i="2"/>
  <c r="X21" i="2"/>
  <c r="L21" i="2"/>
  <c r="Y20" i="2"/>
  <c r="L20" i="2"/>
  <c r="Y19" i="2"/>
  <c r="M11" i="2" s="1"/>
  <c r="L19" i="2"/>
  <c r="C9" i="2" s="1"/>
  <c r="F13" i="2"/>
  <c r="M12" i="2"/>
  <c r="C12" i="2"/>
  <c r="F11" i="2"/>
  <c r="C11" i="2"/>
  <c r="M10" i="2"/>
  <c r="F10" i="2"/>
  <c r="C10" i="2"/>
  <c r="M9" i="2"/>
  <c r="F9" i="2"/>
  <c r="O10" i="2" l="1"/>
  <c r="M13" i="2" s="1"/>
  <c r="O12" i="2"/>
  <c r="F12" i="2"/>
</calcChain>
</file>

<file path=xl/sharedStrings.xml><?xml version="1.0" encoding="utf-8"?>
<sst xmlns="http://schemas.openxmlformats.org/spreadsheetml/2006/main" count="1444" uniqueCount="560">
  <si>
    <t xml:space="preserve">                            COMPRA DE AMOSTRA</t>
  </si>
  <si>
    <t>TOTAIS ESPECÍFICOS</t>
  </si>
  <si>
    <t>VALORES ESPECÍFICOS</t>
  </si>
  <si>
    <t>CREDIT NOTE</t>
  </si>
  <si>
    <t>TOTAL COMPRADO</t>
  </si>
  <si>
    <t>QUANTIDADE TOTAL</t>
  </si>
  <si>
    <t>ENVIO JANEIRO</t>
  </si>
  <si>
    <t>ENVIO JUNHO</t>
  </si>
  <si>
    <t>TOTAL (MELHOR PREÇO)</t>
  </si>
  <si>
    <t>TOTAL DE ITENS PENDENTE PROJETO/VALIDAÇÃO</t>
  </si>
  <si>
    <t>ENVIO MARÇO</t>
  </si>
  <si>
    <t>ENVIO JULHO</t>
  </si>
  <si>
    <t>TOTAL DE ITENS COM SIM CHEGOU</t>
  </si>
  <si>
    <t>TOTAL DE ITENS PENDENTE ENVIO</t>
  </si>
  <si>
    <t>ENVIO ABRIL</t>
  </si>
  <si>
    <t>ENVIO AGOSTO</t>
  </si>
  <si>
    <t>TOTAL DE ITENS COM NÃO CHEGOU</t>
  </si>
  <si>
    <t>TOTAL DE SC aberta</t>
  </si>
  <si>
    <t>ENVIO MAIO</t>
  </si>
  <si>
    <t>ENVIO SETEM</t>
  </si>
  <si>
    <t>PENDENTE FORN</t>
  </si>
  <si>
    <t>TOTAL:</t>
  </si>
  <si>
    <t>CREDIT NOTE:</t>
  </si>
  <si>
    <t>"D-"</t>
  </si>
  <si>
    <t>CÓDIGO ENVIO</t>
  </si>
  <si>
    <t>PERFECT</t>
  </si>
  <si>
    <t>N° SC</t>
  </si>
  <si>
    <t>APLICAÇÃO</t>
  </si>
  <si>
    <t>CÓDIGO AMOSTRA</t>
  </si>
  <si>
    <t>PREÇO 1</t>
  </si>
  <si>
    <t>LINK 1 / CONTATO</t>
  </si>
  <si>
    <t>PREÇO 2</t>
  </si>
  <si>
    <t>LINK 2</t>
  </si>
  <si>
    <t>PREÇO 3</t>
  </si>
  <si>
    <t>LINK3</t>
  </si>
  <si>
    <t>SC ABERTA</t>
  </si>
  <si>
    <t>CHEGOU</t>
  </si>
  <si>
    <t>PROJETO FINALIZADO</t>
  </si>
  <si>
    <t>PROJETO APROVADO</t>
  </si>
  <si>
    <t>ENVIAR</t>
  </si>
  <si>
    <t>CÓD. RASTREIO</t>
  </si>
  <si>
    <t>PENDENTE DES. FORN</t>
  </si>
  <si>
    <t>MÊS</t>
  </si>
  <si>
    <t>FORNECEDOR</t>
  </si>
  <si>
    <t>PESO LIQ. (KG)</t>
  </si>
  <si>
    <t>PESO BRUT. (KG)</t>
  </si>
  <si>
    <t>MELHOR PREÇO</t>
  </si>
  <si>
    <t>PREÇO DOLAR</t>
  </si>
  <si>
    <t>D-AMD0170</t>
  </si>
  <si>
    <t>AMD0170</t>
  </si>
  <si>
    <t>FIAT - TITANO - DIANT. LD/LE - 2025/2026</t>
  </si>
  <si>
    <t>+55 11 91846-3397</t>
  </si>
  <si>
    <t>-</t>
  </si>
  <si>
    <t>SIM</t>
  </si>
  <si>
    <t>NÃO</t>
  </si>
  <si>
    <t>1Z01X06A6793265376</t>
  </si>
  <si>
    <t>ABRIL</t>
  </si>
  <si>
    <t>EWIN</t>
  </si>
  <si>
    <t>D-AMD0171</t>
  </si>
  <si>
    <t>AMD0171</t>
  </si>
  <si>
    <t>FIAT - TITANO - TRAS. LD/LE - 2025/2026</t>
  </si>
  <si>
    <t>D-AMD0222</t>
  </si>
  <si>
    <t>AMD0222</t>
  </si>
  <si>
    <t>FORD - BRONCO SPORT - DIANT. LD - 2023/2025</t>
  </si>
  <si>
    <t>LX61/18045/JHD</t>
  </si>
  <si>
    <t>+55 31 9249-1118</t>
  </si>
  <si>
    <t>1Z01X06A6790051754</t>
  </si>
  <si>
    <t>JULHO</t>
  </si>
  <si>
    <t>D-AMD0224</t>
  </si>
  <si>
    <t>AMD0224</t>
  </si>
  <si>
    <t>FORD - BRONCO SPORT - TRAS. LD/LE - 2018/2025</t>
  </si>
  <si>
    <t>LX6Z18125BZ</t>
  </si>
  <si>
    <t>D-AMD0225</t>
  </si>
  <si>
    <t>AMD0225</t>
  </si>
  <si>
    <t>FORD - MAVERICK - DIANT. LD - 2021/2025</t>
  </si>
  <si>
    <t>NZ6Z/18124/N/</t>
  </si>
  <si>
    <t>+55 12 98190-8643</t>
  </si>
  <si>
    <t>D-AMD0227</t>
  </si>
  <si>
    <t>AMD0227</t>
  </si>
  <si>
    <t>FORD - MAVERICK - TRAS. LD/LE - 2021/2025</t>
  </si>
  <si>
    <t>NZ61/18080/BBD</t>
  </si>
  <si>
    <t>D-AMD0256</t>
  </si>
  <si>
    <t>AMD0256</t>
  </si>
  <si>
    <t>FORD - TERRITORY - DIANT. LD/LE - 2023/2026</t>
  </si>
  <si>
    <t>NA91/18045/AA/</t>
  </si>
  <si>
    <t>D-AMD0258</t>
  </si>
  <si>
    <t>AMD0258</t>
  </si>
  <si>
    <t>FORD - TERRITORY - TRAS. LD/LE - 2023/2026</t>
  </si>
  <si>
    <t>ENS1/18097/AC/</t>
  </si>
  <si>
    <t>1Z01X06A6791635943</t>
  </si>
  <si>
    <t>D-AMD0259</t>
  </si>
  <si>
    <t>AMD0259</t>
  </si>
  <si>
    <t>FORD - CARGO 1119 - 2012/2026 - TRAS.LD/LE</t>
  </si>
  <si>
    <t>https://www.mercadolivre.com.br/amortecedor-de-suspensao-traseiro-cofap----45384/up/MLBU2305273792#polycard_client=search-desktop&amp;search_layout=grid&amp;position=2&amp;type=product&amp;tracking_id=6dd8e0f1-120a-4707-9149-583374308393&amp;wid=MLB3634067083&amp;sid=search</t>
  </si>
  <si>
    <t>https://www.mercadolivre.com.br/amortecedor-traseiro-45384-cofap-ford-cargo-8161119/up/MLBU2980294594#polycard_client=search-desktop&amp;search_layout=grid&amp;position=3&amp;type=product&amp;tracking_id=6dd8e0f1-120a-4707-9149-583374308393&amp;wid=MLB5266522292&amp;sid=search</t>
  </si>
  <si>
    <t>https://www.mercadolivre.com.br/amortecedor-de-suspensao-traseiro-cofap--45384/up/MLBU2354869801#polycard_client=search-desktop&amp;search_layout=grid&amp;position=4&amp;type=product&amp;tracking_id=6dd8e0f1-120a-4707-9149-583374308393&amp;wid=MLB3833519837&amp;sid=search</t>
  </si>
  <si>
    <t>XGM</t>
  </si>
  <si>
    <t>D-AMD0264</t>
  </si>
  <si>
    <t>AMD0264</t>
  </si>
  <si>
    <t>FORD - CANAVIEIRO/CARGO - 1970/2019 - Front</t>
  </si>
  <si>
    <t xml:space="preserve">L13803 </t>
  </si>
  <si>
    <t>https://www.mercadolivre.com.br/amortecedor-de-suspensao-dianteiro-cofap--26260--23210/up/MLBU3074636846#polycard_client=search-desktop&amp;search_layout=grid&amp;position=12&amp;type=product&amp;tracking_id=52918c6b-07f8-4def-89d5-6b508c6bf3e9&amp;wid=MLB5319946354&amp;sid=search</t>
  </si>
  <si>
    <t>https://www.mercadolivre.com.br/amortecedor-dianteiro-vw-constellation-17250-24250-24280/up/MLBU2872276178#polycard_client=search-desktop&amp;search_layout=grid&amp;position=34&amp;type=product&amp;tracking_id=52918c6b-07f8-4def-89d5-6b508c6bf3e9&amp;wid=MLB5211457318&amp;sid=search</t>
  </si>
  <si>
    <t>https://www.mercadolivre.com.br/amortecedor-dianteiro-volkswagem-25360-35300h-35300/up/MLBU3091922544#polycard_client=search-desktop&amp;search_layout=grid&amp;position=10&amp;type=product&amp;tracking_id=52918c6b-07f8-4def-89d5-6b508c6bf3e9&amp;wid=MLB5329871582&amp;sid=search</t>
  </si>
  <si>
    <t>D-AMD0267</t>
  </si>
  <si>
    <t>AMD0267</t>
  </si>
  <si>
    <t>peça bem</t>
  </si>
  <si>
    <t>FORD - CARGO 1317/3031 E ACTIONS - 2019/2026 - Front</t>
  </si>
  <si>
    <t>https://www.mercadolivre.com.br/amortecedor-dianteiro-ford-cargo-2429-2012-a-2019-6x2/up/MLBU3250239111#polycard_client=search-desktop&amp;search_layout=grid&amp;position=10&amp;type=product&amp;tracking_id=841dae23-3ef1-484f-8080-0077a54e5234&amp;wid=MLB4103010557&amp;sid=search</t>
  </si>
  <si>
    <t>https://www.mercadolivre.com.br/amortecedor-dianteiro-ford-cargo-2429-2012-a-2019-6x2/up/MLBU3250245103#polycard_client=search-desktop&amp;search_layout=grid&amp;position=20&amp;type=product&amp;tracking_id=841dae23-3ef1-484f-8080-0077a54e5234&amp;wid=MLB5452061660&amp;sid=search</t>
  </si>
  <si>
    <t>https://www.mercadolivre.com.br/amortecedor-diant-cargo-1317-1723-1729-2423-2429-unidade/up/MLBU3867150049#polycard_client=search-desktop&amp;search_layout=grid&amp;position=8&amp;type=product&amp;tracking_id=841dae23-3ef1-484f-8080-0077a54e5234&amp;wid=MLB6538839146&amp;sid=search</t>
  </si>
  <si>
    <t>D-AMD0335</t>
  </si>
  <si>
    <t>AMD0335</t>
  </si>
  <si>
    <t>FORD - CAMINHAO CARGO 816 E 1119 AM D - 1996/2005 - TRAS.LD/LE</t>
  </si>
  <si>
    <t>L13348</t>
  </si>
  <si>
    <t>https://www.mercadolivre.com.br/amortecedor-susp-dianteira-ford-cargo-816-1119-2018-2019/up/MLBU3515078310?pdp_filters=issues_invoice%3Ayes#polycard_client=search-desktop&amp;search_layout=grid&amp;position=39&amp;type=product&amp;tracking_id=5aed8b73-27e4-43bf-acfe-e5085d368046&amp;wid=MLB4270131631&amp;sid=search</t>
  </si>
  <si>
    <t>https://www.mercadolivre.com.br/amortecedor-suspensao-dianteira-ford-cargo-914-1996-a-2000/up/MLBU3515074914?pdp_filters=issues_invoice%3Ayes#polycard_client=search-desktop&amp;search_layout=grid&amp;position=35&amp;type=product&amp;tracking_id=5aed8b73-27e4-43bf-acfe-e5085d368046&amp;wid=MLB4270350935&amp;sid=search</t>
  </si>
  <si>
    <t>https://www.mercadolivre.com.br/amortecedor-dianteiro-ford-cargo-816--1119-unidade/up/MLBU1982664398?pdp_filters=issues_invoice%3Ayes#polycard_client=search-desktop&amp;search_layout=grid&amp;position=29&amp;type=product&amp;tracking_id=5aed8b73-27e4-43bf-acfe-e5085d368046&amp;wid=MLB3727076957&amp;sid=search</t>
  </si>
  <si>
    <t>D-AMD0408</t>
  </si>
  <si>
    <t>AMD0408</t>
  </si>
  <si>
    <t>HONDA - CR-V - DIANT. LD - 2018/2025</t>
  </si>
  <si>
    <t>GP33458</t>
  </si>
  <si>
    <t>55 11 91581-8573</t>
  </si>
  <si>
    <t>1Z01X06A6793232526</t>
  </si>
  <si>
    <t>JUNHO</t>
  </si>
  <si>
    <t>ZS</t>
  </si>
  <si>
    <t>D-AMD0410</t>
  </si>
  <si>
    <t>AMD0410</t>
  </si>
  <si>
    <t>HONDA - CRV 1.5 AUT. TOURING - 2017/2019 - Front Left</t>
  </si>
  <si>
    <t>526113C2T51</t>
  </si>
  <si>
    <t>D-AMD0453</t>
  </si>
  <si>
    <t>AMD0453</t>
  </si>
  <si>
    <t>HONDA - ZR-V - DIANT. LD - 2024/2025</t>
  </si>
  <si>
    <t>516113W0A01 (DIR)</t>
  </si>
  <si>
    <t>1Z01X06A6790606762</t>
  </si>
  <si>
    <t>D-AMD0455</t>
  </si>
  <si>
    <t>AMD0455</t>
  </si>
  <si>
    <t>HONDA - ZR-V - TRAS. LD/LE - 2024/2025</t>
  </si>
  <si>
    <t>526113W0A02</t>
  </si>
  <si>
    <t>D-AMD0456</t>
  </si>
  <si>
    <t>AMD0456</t>
  </si>
  <si>
    <t>HONDA - HR-V - DIANT. LD - 2022/2025</t>
  </si>
  <si>
    <t>516113M6M01 (DIR)</t>
  </si>
  <si>
    <t>https://www.mercadolivre.com.br/amortecedor-direito-cofap-honda-hrv-advance-2022-a-2026/up/MLBU3192868178#polycard_client=search-nordic&amp;searchVariation=MLBU3192868178&amp;wid=MLB4070986209&amp;position=8&amp;search_layout=stack&amp;type=product&amp;tracking_id=57dda5f0-e4a9-4898-a6bf-ca26325ad6a0&amp;sid=search</t>
  </si>
  <si>
    <t>1Z01X06A6728826838</t>
  </si>
  <si>
    <t>MARÇO</t>
  </si>
  <si>
    <t>NÃO VALIDADO</t>
  </si>
  <si>
    <t>D-AMD0458</t>
  </si>
  <si>
    <t>AMD0458</t>
  </si>
  <si>
    <t>HONDA - HR-V - TRAS. LD/LE - 2022/2025</t>
  </si>
  <si>
    <t>GB27720 (COFAP)</t>
  </si>
  <si>
    <t>https://www.mercadolivre.com.br/amortecedor-traseiro-honda-hrv-2022-cofap/up/MLBU775199194#polycard_client=search-nordic&amp;searchVariation=MLBU775199194&amp;wid=MLB3808894851&amp;position=21&amp;search_layout=stack&amp;type=product&amp;tracking_id=41da5589-01d1-4a1d-9dab-ec3a0a9df2ab&amp;sid=search</t>
  </si>
  <si>
    <t>https://www.mercadolivre.com.br/amortecedor-traseiro-honda-hrv-2022-cofap/up/MLBU1460408325#polycard_client=search-nordic&amp;searchVariation=MLBU1460408325&amp;wid=MLB3808871767&amp;position=15&amp;search_layout=stack&amp;type=product&amp;tracking_id=41da5589-01d1-4a1d-9dab-ec3a0a9df2ab&amp;sid=search</t>
  </si>
  <si>
    <t>https://www.mercadolivre.com.br/amortecedor-traseiro-honda-hrv-2022-cofap/up/MLBU3017545941?pdp_filters=item_id:MLB3978886419#wid=MLB3978886419&amp;sid=search&amp;is_advertising=true&amp;searchVariation=MLBU3017545941&amp;backend_model=search-backend&amp;position=17&amp;search_layout=stack&amp;type=pad&amp;tracking_id=41da5589-01d1-4a1d-9dab-ec3a0a9df2ab</t>
  </si>
  <si>
    <t>D-AMD0470</t>
  </si>
  <si>
    <t>AMD0470</t>
  </si>
  <si>
    <t>HONDA - CG 150 TITAN KS / ES / EDS / JOB / START - AMORTECEDOR DE SUSPENSÃO - 2004 / 2026</t>
  </si>
  <si>
    <t>CR22540M</t>
  </si>
  <si>
    <t>https://produto.mercadolivre.com.br/MLB-5094785206-amortecedor-cg-150-titan-cg-160-titan-1-unidade-cofap-_JM#polycard_client=search-nordic&amp;position=2&amp;search_layout=stack&amp;type=item&amp;tracking_id=00efce8d-745d-41fe-bb10-452b011fd870&amp;wid=MLB5094785206&amp;sid=search</t>
  </si>
  <si>
    <t>D-AMD0553</t>
  </si>
  <si>
    <t>AMD0553</t>
  </si>
  <si>
    <t>PEUGEOT - 3008 - TRAS. LD/LE - 2018/2025</t>
  </si>
  <si>
    <t>GB48337 (COFAP)</t>
  </si>
  <si>
    <t>https://www.mercadolivre.com.br/amortecedor-traseiro-peugeot-3008-5008-2018-cofap/up/MLBU1435191574#origin=touchable_link&amp;item_id=MLB3035268920</t>
  </si>
  <si>
    <t>D-AMD0554</t>
  </si>
  <si>
    <t>AMD0554</t>
  </si>
  <si>
    <t>PEUGEOT - 2008 - DIANT. LD - 2024/2025</t>
  </si>
  <si>
    <t>https://www.mercadolivre.com.br/amortecedor-dianteiro-esquerdo-original-peugeot-2008/up/MLBU3690905371#polycard_client=search-desktop&amp;search_layout=grid&amp;position=2&amp;type=product&amp;tracking_id=54c73c23-0009-4345-a459-36de1a671649&amp;wid=MLB6093784178&amp;sid=search</t>
  </si>
  <si>
    <t>1Z01X06A6734802119</t>
  </si>
  <si>
    <t>MAIO</t>
  </si>
  <si>
    <t>D-AMD0556</t>
  </si>
  <si>
    <t>AMD0556</t>
  </si>
  <si>
    <t>PEUGEOT - 2008 - TRAS. LD/LE - 2024/2025</t>
  </si>
  <si>
    <t>1Z01X06A6790652917</t>
  </si>
  <si>
    <t>D-AMD0559</t>
  </si>
  <si>
    <t>AMD0559</t>
  </si>
  <si>
    <t>PEUGEOT - 3008 - DIANT. LD/LE - 2018/2025</t>
  </si>
  <si>
    <t>3348091 (KAYABA)</t>
  </si>
  <si>
    <t>https://www.mercadolivre.com.br/amortecedor-dianteiro-3008-5008-kayaba-3348091/up/MLBU3973104213#polycard_client=search-desktop&amp;be_origin=backend&amp;overlay_label=not_apply&amp;search_layout=stack&amp;position=17&amp;type=product&amp;tracking_id=6295bdef-d255-49da-b608-6742d1a61348&amp;wid=MLB6800702876&amp;sid=search</t>
  </si>
  <si>
    <t>https://www.mercadocar.com.br/amortecedor-de-suspensao-kayaba-3348091</t>
  </si>
  <si>
    <t>https://www.mercadolivre.com.br/amortecedor-dianteiro-peugeot-3008-5008-2018-2019-2020-2021/up/MLBU2301741939#polycard_client=search-desktop&amp;be_origin=backend&amp;overlay_label=not_apply&amp;search_layout=stack&amp;position=21&amp;type=product&amp;tracking_id=6295bdef-d255-49da-b608-6742d1a61348&amp;wid=MLB3639207115&amp;sid=search</t>
  </si>
  <si>
    <t>D-AMD08100</t>
  </si>
  <si>
    <t>AMD08100</t>
  </si>
  <si>
    <t>VOLKSWAGEN - TERA - DIANT. LD/LE - 2025/2026</t>
  </si>
  <si>
    <t>2GX413031D</t>
  </si>
  <si>
    <t>+55 11 93484-5772</t>
  </si>
  <si>
    <t>1Z01X06A6736606784</t>
  </si>
  <si>
    <t>JANEIRO</t>
  </si>
  <si>
    <t>VALIDADO</t>
  </si>
  <si>
    <t>D-AMD08101</t>
  </si>
  <si>
    <t>AMD08101</t>
  </si>
  <si>
    <t>VOLKSWAGEN - TERA - TRAS. LD/LE - 2025/2026</t>
  </si>
  <si>
    <t xml:space="preserve">2GX513049C </t>
  </si>
  <si>
    <t>D-AMD0821</t>
  </si>
  <si>
    <t>AMD0821</t>
  </si>
  <si>
    <t>VOLKSWAGEN - E-DELIVERY - AMORTECEDOR DIANTEIRO/TRASEIRO LD/LE - 2017 / 2025</t>
  </si>
  <si>
    <t>GL13775</t>
  </si>
  <si>
    <t>https://www.mercadolivre.com.br/amortecedor-dianteiro-traseiro-vw-delivery-9170-2018-a-2023/up/MLBU3257138915#polycard_client=search-nordic&amp;search_layout=stack&amp;position=40&amp;type=product&amp;tracking_id=322ac556-136e-4168-a849-7fddedda3ac1&amp;wid=MLB4106705075&amp;sid=search</t>
  </si>
  <si>
    <t>https://www.mercadolivre.com.br/amortecedor-dianteiro-traseiro-vw-delivery-9170-2018-a-2023/up/MLBU3262877344#polycard_client=search-nordic&amp;search_layout=stack&amp;position=47&amp;type=product&amp;tracking_id=322ac556-136e-4168-a849-7fddedda3ac1&amp;wid=MLB4106768849&amp;sid=search</t>
  </si>
  <si>
    <t>https://www.mercadolivre.com.br/amortecedor-dianteiro-traseiro-vw-delivery-11180-2018-a-2023/up/MLBU3257130743#polycard_client=search-nordic&amp;search_layout=stack&amp;position=43&amp;type=product&amp;tracking_id=322ac556-136e-4168-a849-7fddedda3ac1&amp;wid=MLB4106795147&amp;sid=search</t>
  </si>
  <si>
    <t>D-AMD0824</t>
  </si>
  <si>
    <t>AMD0824</t>
  </si>
  <si>
    <t>VOLKSWAGEN - DELIVERY - TRAS. LD/LE - 2022 / 2025</t>
  </si>
  <si>
    <t>GL13759</t>
  </si>
  <si>
    <t>https://www.mercadolivre.com.br/amortecedor-traseiro-volkswagen-express-delivery-cofap/up/MLBU794329179#polycard_client=search-nordic&amp;search_layout=stack&amp;position=2&amp;type=product&amp;tracking_id=c2711c85-c1be-4ec6-adc8-6ed3ca0720c8&amp;wid=MLB2679772621&amp;sid=search</t>
  </si>
  <si>
    <t>https://www.mercadolivre.com.br/amortecedor-traseiro-volkswagen-express-delivery-cofap/up/MLBU1108332489#polycard_client=search-nordic&amp;search_layout=stack&amp;position=6&amp;type=product&amp;tracking_id=c2711c85-c1be-4ec6-adc8-6ed3ca0720c8&amp;wid=MLB2679772572&amp;sid=search</t>
  </si>
  <si>
    <t>https://www.mercadolivre.com.br/amortecedor-traseiro-volkswagen-express-delivery-cofap/up/MLBU1431142721#polycard_client=search-nordic&amp;search_layout=stack&amp;position=1&amp;type=product&amp;tracking_id=c2711c85-c1be-4ec6-adc8-6ed3ca0720c8&amp;wid=MLB2990592507&amp;sid=search</t>
  </si>
  <si>
    <t>D-AMD0825</t>
  </si>
  <si>
    <t>AMD0825</t>
  </si>
  <si>
    <t>VOLKSWAGEN - DELIVERY - DIANT. LD - 2022 / 2025</t>
  </si>
  <si>
    <t>GL13773</t>
  </si>
  <si>
    <t>https://www.mercadolivre.com.br/amortecedor-dianteiro-lado-esquerdo-6160-delivery-express/up/MLBU774052109#polycard_client=search-nordic&amp;search_layout=stack&amp;position=13&amp;type=product&amp;tracking_id=7ed98dd4-c618-4a42-8850-ac143f206503&amp;wid=MLB3911546328&amp;sid=search</t>
  </si>
  <si>
    <t>https://www.mercadolivre.com.br/amortecedor-dianteiro-esquerdo-vw-novo-delivery-6160/up/MLBU1158860083#polycard_client=search-nordic&amp;search_layout=stack&amp;position=36&amp;type=product&amp;tracking_id=7ed98dd4-c618-4a42-8850-ac143f206503&amp;wid=MLB4199288078&amp;sid=search</t>
  </si>
  <si>
    <t>https://www.mercadolivre.com.br/amortecedor-de-suspensao-dian--esqu-vw-delivery-2017-a-2024/up/MLBU3092222447#polycard_client=search-nordic&amp;search_layout=stack&amp;position=42&amp;type=product&amp;tracking_id=7ed98dd4-c618-4a42-8850-ac143f206503&amp;wid=MLB4016827355&amp;sid=search</t>
  </si>
  <si>
    <t>1Z01X06A6790691572</t>
  </si>
  <si>
    <t>AGOSTO</t>
  </si>
  <si>
    <t>D-AMD0843</t>
  </si>
  <si>
    <t>AMD0843</t>
  </si>
  <si>
    <t>VOLKSWAGEN - GOLF - 1994/1998 - TRAS.LD/LE</t>
  </si>
  <si>
    <t>B27106</t>
  </si>
  <si>
    <t>https://www.mercadolivre.com.br/amortecedor-traseiro-cofap-golf-glx-gti-1994-a-1998-b27106/up/MLBU3629320470#polycard_client=search-desktop&amp;search_layout=stack&amp;position=19&amp;type=product&amp;tracking_id=732d4f3e-e3a2-4eb6-bf93-513e696a2c7b&amp;wid=MLB4325449379&amp;sid=search</t>
  </si>
  <si>
    <t>https://www.mercadolivre.com.br/amortecedor-traseiro-cofap-golf-glx-gti-1994-a-1998-b27106/up/MLBU3621635861#polycard_client=search-desktop&amp;search_layout=stack&amp;position=32&amp;type=product&amp;tracking_id=732d4f3e-e3a2-4eb6-bf93-513e696a2c7b&amp;wid=MLB4325448647&amp;sid=search</t>
  </si>
  <si>
    <t>https://www.mercadolivre.com.br/par-amortecedor-traseiro-golf-gti-20-1998-cofap/up/MLBU733503341?pdp_filters=item_id:MLB1823645712#is_advertising=true&amp;searchVariation=MLBU733503341&amp;backend_model=search-backend&amp;position=3&amp;search_layout=stack&amp;type=pad&amp;tracking_id=95b60954-6ac1-4e74-ade4-224ec22eaab7&amp;ad_domain=VQCATCORE_LST&amp;ad_position=3&amp;ad_click_id=Nzk1OTQwN2EtMWYwMi00ZGU3LWJjZTQtZGMxNjVmMDQ2MmEy</t>
  </si>
  <si>
    <t>D-AMD0893</t>
  </si>
  <si>
    <t>AMD0893</t>
  </si>
  <si>
    <t>VW - KOMBI T2 Platform/Chassis (26, 7X)
KOMBI T2 Van (21, 23, 7X)
TRANSPORTER T1 Van (21, 23) - 1959/1975 - Front</t>
  </si>
  <si>
    <t>B47232</t>
  </si>
  <si>
    <t>https://www.mercadolivre.com.br/1-amortecedor-dianteiro-kombi-5775-b47232-cofap/up/MLBU1152457099#polycard_client=search-desktop&amp;search_layout=stack&amp;position=8&amp;type=product&amp;tracking_id=bd14f183-3c55-465d-9c2d-e6a24d87e90d&amp;wid=MLB3770361486&amp;sid=search</t>
  </si>
  <si>
    <t>https://www.mercadolivre.com.br/amortecedor-cofap-b47232-suspensao-kombi-de-1960-ate-1975/up/MLBU1757385940#polycard_client=search-desktop&amp;search_layout=stack&amp;position=18&amp;type=product&amp;tracking_id=bd14f183-3c55-465d-9c2d-e6a24d87e90d&amp;wid=MLB3778342036&amp;sid=search</t>
  </si>
  <si>
    <t>https://www.mercadolivre.com.br/amortecedor-dianteiro-super-kombi-1200-1957-1958-1959-1960/up/MLBU1725666901#polycard_client=search-desktop&amp;search_layout=stack&amp;position=9&amp;type=product&amp;tracking_id=bd14f183-3c55-465d-9c2d-e6a24d87e90d&amp;wid=MLB1337938510&amp;sid=search</t>
  </si>
  <si>
    <t>D-AMD0926</t>
  </si>
  <si>
    <t>AMD0926</t>
  </si>
  <si>
    <t>CITROEN - BASALT - DIANT. LD - 2024/2026</t>
  </si>
  <si>
    <t>D-AMD0927</t>
  </si>
  <si>
    <t>AMD0927</t>
  </si>
  <si>
    <t>CITROEN - BASALT - TRAS. LD/LE - 2024/2026</t>
  </si>
  <si>
    <t>D-AMD0928</t>
  </si>
  <si>
    <t>AMD0928</t>
  </si>
  <si>
    <t>CITROEN - C3 AIRCROSS - DIANT. LD - 2024/2025</t>
  </si>
  <si>
    <t>D-AMD0930</t>
  </si>
  <si>
    <t>AMD0930</t>
  </si>
  <si>
    <t>CITROEN - C3 AIRCROSS - TRAS. LD/LE - 2024/2025</t>
  </si>
  <si>
    <t>D-AMD10100</t>
  </si>
  <si>
    <t>AMD10100</t>
  </si>
  <si>
    <t>CHEVROLET - VECTRA - 1993/1996 - Front</t>
  </si>
  <si>
    <t>G32198</t>
  </si>
  <si>
    <t>https://produto.mercadolivre.com.br/MLB-4428121401-amortecedor-dianteiro-para-gm-vectra-gsi-16v-1994-a-1996-_JM#polycard_client=search-desktop&amp;be_origin=backend&amp;search_layout=grid&amp;position=11&amp;type=item&amp;tracking_id=65d1c1df-c9ce-41ff-9925-d7f352de9925&amp;wid=MLB4428121401&amp;sid=search</t>
  </si>
  <si>
    <t>D-AMD2156</t>
  </si>
  <si>
    <t>AMD2156</t>
  </si>
  <si>
    <t>HYUNDAI - SANTA FÉ - 2013/2019 - Front Left</t>
  </si>
  <si>
    <t>GP33313</t>
  </si>
  <si>
    <t>https://www.mercadolivre.com.br/amortecedor-dianteiro-direito-santa-fe-2011-a-2014-cofap/up/MLBU1432473462#polycard_client=search-desktop&amp;search_layout=grid&amp;position=26&amp;type=product&amp;tracking_id=ea667e93-7662-43f7-9137-b7a43cf6aac6&amp;wid=MLB2831513536&amp;sid=search</t>
  </si>
  <si>
    <t>https://www.mercadolivre.com.br/amortecedor-dianteiro-direito-santa-fe-2011-a-2014-cofap/up/MLBU1441216076#polycard_client=search-desktop&amp;search_layout=grid&amp;position=25&amp;type=product&amp;tracking_id=ea667e93-7662-43f7-9137-b7a43cf6aac6&amp;wid=MLB2988659996&amp;sid=search</t>
  </si>
  <si>
    <t>https://www.mercadolivre.com.br/amortecedor-dianteiro-direito-santa-fe-2011-a-2014-cofap/up/MLBU1972882818#polycard_client=search-desktop&amp;search_layout=grid&amp;position=47&amp;type=product&amp;tracking_id=ea667e93-7662-43f7-9137-b7a43cf6aac6&amp;wid=MLB2831466018&amp;sid=search</t>
  </si>
  <si>
    <t>D-AMD2157</t>
  </si>
  <si>
    <t>AMD2157</t>
  </si>
  <si>
    <t>HYUNDAI - SANTA FÉ - 2013/2019 - Front Right</t>
  </si>
  <si>
    <t>GP33312</t>
  </si>
  <si>
    <t>D-AMD2158</t>
  </si>
  <si>
    <t>AMD2158</t>
  </si>
  <si>
    <t>HYUNDAI - SANTA FÉ - TRAS. LD/LE - 2009/2013</t>
  </si>
  <si>
    <t>GB48318 (COFAP)</t>
  </si>
  <si>
    <t>https://www.mercadolivre.com.br/amortecedor-traseiro-santa-fe-2011-a-2014-cofap/up/MLBU1479955472#polycard_client=search-nordic&amp;search_layout=stack&amp;position=49&amp;type=product&amp;tracking_id=a84bef30-287f-48d7-9f8e-4b8ca1b59244&amp;wid=MLB4998373466&amp;sid=search</t>
  </si>
  <si>
    <t>https://www.mercadolivre.com.br/amortecedor-traseiro-santa-fe-2011-a-2014-cofap/up/MLBU1097638411#polycard_client=search-nordic&amp;search_layout=stack&amp;position=36&amp;type=product&amp;tracking_id=a84bef30-287f-48d7-9f8e-4b8ca1b59244&amp;wid=MLB2039467382&amp;sid=search</t>
  </si>
  <si>
    <t>https://www.mercadolivre.com.br/amortecedor-traseiro-santa-fe-2011-a-2014-cofap/up/MLBU795744159#polycard_client=search-nordic&amp;search_layout=stack&amp;position=35&amp;type=product&amp;tracking_id=a84bef30-287f-48d7-9f8e-4b8ca1b59244&amp;wid=MLB3068300106&amp;sid=search</t>
  </si>
  <si>
    <t>D-AMD2170</t>
  </si>
  <si>
    <t>AMD2170</t>
  </si>
  <si>
    <t>HYUNDAI - CRETA - DIANT. LD - 2018/2025</t>
  </si>
  <si>
    <t>GP33542 (COFAP)</t>
  </si>
  <si>
    <t>https://produto.mercadolivre.com.br/MLB-4015052107-amortecedor-turbo-gas-dianteiro-direito-creta-10-12v-2022-_JM#polycard_client=search-nordic&amp;search_layout=stack&amp;position=13&amp;type=item&amp;tracking_id=6f606877-9174-4cf3-8fbf-2a3954af7968&amp;wid=MLB4015052107&amp;sid=search</t>
  </si>
  <si>
    <t>https://produto.mercadolivre.com.br/MLB-4015076559-amortecedor-turbo-gas-dianteiro-direito-creta-10-12v-2024-_JM#polycard_client=search-nordic&amp;search_layout=stack&amp;position=14&amp;type=item&amp;tracking_id=6f606877-9174-4cf3-8fbf-2a3954af7968&amp;wid=MLB4015076559&amp;sid=search</t>
  </si>
  <si>
    <t>https://produto.mercadolivre.com.br/MLB-5331754246-amortecedor-turbo-gas-dianteiro-direito-creta-16-16v-2022-_JM#polycard_client=search-nordic&amp;search_layout=stack&amp;position=19&amp;type=item&amp;tracking_id=0b3fc755-67bf-49a7-ac54-6d02375e305a&amp;wid=MLB5331754246&amp;sid=search</t>
  </si>
  <si>
    <t>1Z01X06A6723305212</t>
  </si>
  <si>
    <t>D-AMD2423</t>
  </si>
  <si>
    <t>AMD2423</t>
  </si>
  <si>
    <t>JEEP - Commander AWD - 2021/2026 - Front Left</t>
  </si>
  <si>
    <t>GP33439</t>
  </si>
  <si>
    <t>https://www.mercadolivre.com.br/amortecedor-dianteiro-direito-commander-awd-diesel-cofap/up/MLBU3001416731?pdp_filters=issues_invoice%3Ayes#polycard_client=search-desktop&amp;search_layout=stack&amp;position=17&amp;type=product&amp;tracking_id=a4d53f0e-b53d-442c-a34c-ea246d0ac8d6&amp;wid=MLB3969816955&amp;sid=search</t>
  </si>
  <si>
    <t>https://www.mercadolivre.com.br/amortecedor-diant-dir-jeep-commander-awd-diesel-21-cofap/up/MLBU3056074416?pdp_filters=issues_invoice%3Ayes#polycard_client=search-desktop&amp;search_layout=stack&amp;position=8&amp;type=product&amp;tracking_id=a4d53f0e-b53d-442c-a34c-ea246d0ac8d6&amp;wid=MLB5308854890&amp;sid=search</t>
  </si>
  <si>
    <t>https://www.mercadolivre.com.br/amortecedor-diant-dir-jeep-commander-awd-diesel-21-cofap/up/MLBU3050789279?pdp_filters=item_id:MLB5308786282|issues_invoice:yes#is_advertising=true&amp;searchVariation=MLBU3050789279&amp;backend_model=search-backend&amp;position=2&amp;search_layout=stack&amp;type=pad&amp;tracking_id=a4d53f0e-b53d-442c-a34c-ea246d0ac8d6&amp;ad_domain=VQCATCORE_LST&amp;ad_position=2&amp;ad_click_id=ODQ4OTUyNWUtMWNiZi00ODIyLWEwMTktOGNkZjAxYmJlMjY0</t>
  </si>
  <si>
    <t>D-AMD2424</t>
  </si>
  <si>
    <t>AMD2424</t>
  </si>
  <si>
    <t>JEEP - Commander AWD - 2021/2026 - Front Right</t>
  </si>
  <si>
    <t>GP33438</t>
  </si>
  <si>
    <t>D-AMD2426</t>
  </si>
  <si>
    <t>AMD2426</t>
  </si>
  <si>
    <t>JEEP - COMMANDER - TRAS. LD - 2021/2025</t>
  </si>
  <si>
    <t>GP33442  (COFAP)</t>
  </si>
  <si>
    <t>https://mercadocar.com.br/amortecedor-traseiro-jeep-commander-lado-direito-cofap-gp33442</t>
  </si>
  <si>
    <t>https://www.mercadolivre.com.br/amortecedor-commander-2021-a-2024-cofap-gp33442/up/MLBU1001565175#polycard_client=search-nordic&amp;search_layout=stack&amp;position=6&amp;type=product&amp;tracking_id=a7905fba-f312-4acd-a66f-dc6406144878&amp;wid=MLB5189761670&amp;sid=search</t>
  </si>
  <si>
    <t>D-AMD2427</t>
  </si>
  <si>
    <t>AMD2427</t>
  </si>
  <si>
    <t>JEEP - COMPASS - 2011/2015 - Front Left</t>
  </si>
  <si>
    <t>GP33377</t>
  </si>
  <si>
    <t>https://www.mercadolivre.com.br/amortecedor-dianteiro-direito-cofap-compass-sport-20112014/up/MLBU1157634608#polycard_client=search-desktop&amp;search_layout=grid&amp;position=45&amp;type=product&amp;tracking_id=3f98b4db-66af-4fa4-b265-577d2c73427b&amp;wid=MLB3387283033&amp;sid=search</t>
  </si>
  <si>
    <t>https://www.mercadolivre.com.br/amortecedor-dianteiro-direito-jeep-compass-sport-cofap/up/MLBU1155139592#polycard_client=search-desktop&amp;search_layout=grid&amp;position=17&amp;type=product&amp;tracking_id=3f98b4db-66af-4fa4-b265-577d2c73427b&amp;wid=MLB3710062722&amp;sid=search</t>
  </si>
  <si>
    <t>https://www.mercadolivre.com.br/amortecedor-dianteiro-direito-compass-sport-20112015-cofap/up/MLBU752900823#polycard_client=search-desktop&amp;search_layout=grid&amp;position=21&amp;type=product&amp;tracking_id=3f98b4db-66af-4fa4-b265-577d2c73427b&amp;wid=MLB2849506538&amp;sid=search</t>
  </si>
  <si>
    <t>D-AMD2428</t>
  </si>
  <si>
    <t>AMD2428</t>
  </si>
  <si>
    <t>D-AMD2429</t>
  </si>
  <si>
    <t>AMD2429</t>
  </si>
  <si>
    <t>JEEP - COMPASS - 2011/2015 - TRAS.LD/LE</t>
  </si>
  <si>
    <t>GB48361</t>
  </si>
  <si>
    <t>https://www.mercadolivre.com.br/amortecedor-traseiro-cofap-jeep-compass-sport-20112014/up/MLBU763238518#polycard_client=search-desktop&amp;search_layout=stack&amp;position=24&amp;type=product&amp;tracking_id=9d4feb51-8262-484b-b614-5ebe10807ea2&amp;wid=MLB3387262447&amp;sid=search</t>
  </si>
  <si>
    <t>https://www.mercadolivre.com.br/amortecedor-traseiro-cofap-jeep-compass-sport-20112014/up/MLBU763522970#polycard_client=search-desktop&amp;search_layout=stack&amp;position=28&amp;type=product&amp;tracking_id=9d4feb51-8262-484b-b614-5ebe10807ea2&amp;wid=MLB4074956542&amp;sid=search</t>
  </si>
  <si>
    <t>https://www.mercadolivre.com.br/amortecedor-traseiro-cofap-jeep-compass-sport-20112014/up/MLBU603756633#polycard_client=search-desktop&amp;search_layout=stack&amp;position=33&amp;type=product&amp;tracking_id=9d4feb51-8262-484b-b614-5ebe10807ea2&amp;wid=MLB3387273795&amp;sid=search</t>
  </si>
  <si>
    <t>D-AMD2430</t>
  </si>
  <si>
    <t>AMD2430</t>
  </si>
  <si>
    <t>JEEP - RENEGADE -TURBO 1.3 T270 - FLEX / 4X2 FWD AT6 - CÂMBIO AUTOMÁTICO - DIANT. LD - 2022/2026</t>
  </si>
  <si>
    <t>GP33468</t>
  </si>
  <si>
    <t>https://www.mercadolivre.com.br/amortecedor-dianteiro-direito-renegade-13-4x2-2022-cofap/up/MLBU3078667255#polycard_client=search-desktop&amp;be_origin=backend&amp;search_layout=grid&amp;position=5&amp;type=product&amp;tracking_id=e010825a-976e-4258-a5ca-d33e04133b66&amp;wid=MLB4009862549&amp;sid=search</t>
  </si>
  <si>
    <t>D-AMD2432</t>
  </si>
  <si>
    <t>AMD2432</t>
  </si>
  <si>
    <t>JEEP - RENEGADE -TURBO 1.3 T270 - FLEX / 4X2 FWD AT6 - CÂMBIO AUTOMÁTICO - TRAS. LD - 2022/2026</t>
  </si>
  <si>
    <t>GP33470</t>
  </si>
  <si>
    <t>https://www.mercadolivre.com.br/amortecedor-traseiro-direito-renegade-13-4x2-2022-cofap/up/MLBU1119404739#polycard_client=search-desktop&amp;be_origin=backend&amp;search_layout=grid&amp;position=58&amp;type=product&amp;tracking_id=41f782db-b0b0-49f1-b686-1d5adc361e67&amp;wid=MLB3190231736&amp;sid=search</t>
  </si>
  <si>
    <t>1Z01X06A6735357037</t>
  </si>
  <si>
    <t>D-AMD2434</t>
  </si>
  <si>
    <t>AMD2434</t>
  </si>
  <si>
    <t>GP33479</t>
  </si>
  <si>
    <t>https://www.mercadolivre.com.br/amortecedor-dianteiro-direito-renegade-13-4x4-t270-2022/up/MLBU799860191#polycard_client=search-desktop&amp;be_origin=backend&amp;search_layout=stack&amp;position=10&amp;type=product&amp;tracking_id=3461f299-b0ac-4129-878c-1a8ce9959708&amp;wid=MLB4533490650&amp;sid=search</t>
  </si>
  <si>
    <t>D-AMD2436</t>
  </si>
  <si>
    <t>AMD2436</t>
  </si>
  <si>
    <t>GP33480</t>
  </si>
  <si>
    <t>https://www.mercadolivre.com.br/amortecedor-de-suspensao-traseiro--cofap--gp33480/up/MLBU2354871059#polycard_client=search-desktop&amp;be_origin=backend&amp;search_layout=grid&amp;position=5&amp;type=product&amp;tracking_id=4e001501-116b-40dc-9df8-ee85d0475206&amp;wid=MLB3866023439&amp;sid=search</t>
  </si>
  <si>
    <t>D-AMD2440</t>
  </si>
  <si>
    <t>AMD2440</t>
  </si>
  <si>
    <t>RAM - RAMPAGE - TRAS. LD/LE - 2024/2025</t>
  </si>
  <si>
    <t>+55 11 97542-0189</t>
  </si>
  <si>
    <t>D-AMD2442</t>
  </si>
  <si>
    <t>AMD2442</t>
  </si>
  <si>
    <t>RAM - RAMPAGE - DIANT.LE - 2024/2025</t>
  </si>
  <si>
    <t>D-AMD2518</t>
  </si>
  <si>
    <t>AMD2518</t>
  </si>
  <si>
    <t>KIA - CERATO - DIANT LD - 2014/2026</t>
  </si>
  <si>
    <t>GP33384 (DIR)</t>
  </si>
  <si>
    <t>https://www.mercadolivre.com.br/amortecedor-dianteiro-direito-kia-cerato-2014-cofap/up/MLBU752894187#polycard_client=search-nordic&amp;search_layout=stack&amp;position=23&amp;type=product&amp;tracking_id=394b638c-a488-4dd9-a9e9-3a2ee55f0609&amp;wid=MLB2849418524&amp;sid=search</t>
  </si>
  <si>
    <t>D-AMD2524</t>
  </si>
  <si>
    <t>AMD2524</t>
  </si>
  <si>
    <t>KIA - STONIC - DIANT. LE - 2022/2026</t>
  </si>
  <si>
    <t>GP30655 ESQ</t>
  </si>
  <si>
    <t>https://www.mercadolivre.com.br/amortecedor-dianteiro-esquerdo-cofap-stonic-10-2022-2023/up/MLBU3191877510#polycard_client=search-desktop&amp;search_layout=grid&amp;position=3&amp;type=product&amp;tracking_id=74342fdb-2a2a-49ab-9c7a-324ece22d534&amp;wid=MLB5399166266&amp;sid=search</t>
  </si>
  <si>
    <t>D-AMD2525</t>
  </si>
  <si>
    <t>AMD2525</t>
  </si>
  <si>
    <t>KIA - STONIC - TRAS. LD/ LE - 2022/2026</t>
  </si>
  <si>
    <t>GB48476</t>
  </si>
  <si>
    <t>https://mercadocar.com.br/tras-versa-advanceexclusive-20-cofap-gb48445-2</t>
  </si>
  <si>
    <t>D-AMD3042</t>
  </si>
  <si>
    <t>AMD3042</t>
  </si>
  <si>
    <t>MERCEDES-BENZ - 2038/2414/2416/2418/2423/2428 - 1991/2001 - Front</t>
  </si>
  <si>
    <t>L12131</t>
  </si>
  <si>
    <t>https://www.mercadolivre.com.br/amortecedor-dianteiro-mercedes-mbb-2038-1994-1995-1996/up/MLBU3864936335#polycard_client=search-desktop&amp;search_layout=grid&amp;position=16&amp;type=product&amp;tracking_id=cb245ed7-047c-49ea-b556-5789fae2d2dd&amp;wid=MLB4567057519&amp;sid=search</t>
  </si>
  <si>
    <t>https://www.mercadolivre.com.br/amortecedor-dianteiro-mercedes-mbb-2423-2002-2003-2004/up/MLBU3514934574#polycard_client=search-desktop&amp;search_layout=grid&amp;position=21&amp;type=product&amp;tracking_id=cb245ed7-047c-49ea-b556-5789fae2d2dd&amp;wid=MLB4270086201&amp;sid=search</t>
  </si>
  <si>
    <t>https://www.mercadolivre.com.br/amortecedor-dianteiro-susp-mercedes-2416-1994-original/up/MLBU3231569612#polycard_client=search-desktop&amp;search_layout=grid&amp;position=23&amp;type=product&amp;tracking_id=cb245ed7-047c-49ea-b556-5789fae2d2dd&amp;wid=MLB5424089054&amp;sid=search</t>
  </si>
  <si>
    <t>D-AMD3043</t>
  </si>
  <si>
    <t>AMD3043</t>
  </si>
  <si>
    <t>MERCEDES-BENZ - 1625/1630/1632/1938/2213/2214...ATRON 1634 - 1998/2005 - Front</t>
  </si>
  <si>
    <t>L12474</t>
  </si>
  <si>
    <t>https://www.mercadolivre.com.br/amortecedor-de-suspensao-dianteiro-cofap--l12474/up/MLBU3124174513#polycard_client=search-desktop&amp;search_layout=grid&amp;position=29&amp;type=product&amp;tracking_id=74c3d8b2-26e5-4770-a2be-da173bdfd28c&amp;wid=MLB5352869908&amp;sid=search</t>
  </si>
  <si>
    <t>https://www.mercadolivre.com.br/amortecedor-dian-mbb-1620-1621-1630-2013-2213-cofap/up/MLBU1733686927#polycard_client=search-desktop&amp;search_layout=grid&amp;position=47&amp;type=product&amp;tracking_id=74c3d8b2-26e5-4770-a2be-da173bdfd28c&amp;wid=MLB2137548173&amp;sid=search</t>
  </si>
  <si>
    <t>D-AMD3044</t>
  </si>
  <si>
    <t>AMD3044</t>
  </si>
  <si>
    <t>MERCEDES-BENZ - AXOR 2 3340,3341 - 2012/2019 - TRAS.LD/LE</t>
  </si>
  <si>
    <t>https://www.mercadolivre.com.br/amortecedor-de-suspensao-traseiro-cofap--axor--45376/up/MLBU3074595172?pdp_filters=issues_invoice%3Ayes#polycard_client=search-desktop&amp;search_layout=grid&amp;position=1&amp;type=product&amp;tracking_id=9ca574c0-3394-43c1-85e6-6199b62f8ff9&amp;wid=MLB5320178426&amp;sid=search</t>
  </si>
  <si>
    <t>https://www.mercadolivre.com.br/amortecedor-traseiro-compativel-axor-3344-20052022-cofap/up/MLBU3114472095?pdp_filters=issues_invoice%3Ayes#polycard_client=search-desktop&amp;search_layout=grid&amp;position=2&amp;type=product&amp;tracking_id=9ca574c0-3394-43c1-85e6-6199b62f8ff9&amp;wid=MLB5346966736&amp;sid=search</t>
  </si>
  <si>
    <t>https://www.mercadolivre.com.br/amortecedor-super-ts-cofap-45376/up/MLBU1715359806?pdp_filters=issues_invoice%3Ayes#polycard_client=search-desktop&amp;search_layout=grid&amp;position=3&amp;type=product&amp;tracking_id=9ca574c0-3394-43c1-85e6-6199b62f8ff9&amp;wid=MLB1630786315&amp;sid=search</t>
  </si>
  <si>
    <t>D-AMD3045</t>
  </si>
  <si>
    <t>AMD3045</t>
  </si>
  <si>
    <t>MERCEDES-BENZ - AXOR - 2011/2018 - Front</t>
  </si>
  <si>
    <t>L13327</t>
  </si>
  <si>
    <t>https://www.mercadolivre.com.br/amortecedor-dianteiro-mb-axor-28282841--cofap-l13327/up/MLBU756069466?pdp_filters=issues_invoice%3Ayes#polycard_client=search-desktop&amp;search_layout=grid&amp;position=5&amp;type=product&amp;tracking_id=be828bba-4004-432c-bac2-14d60958d5c5&amp;wid=MLB2897060474&amp;sid=search</t>
  </si>
  <si>
    <t>https://www.mercadolivre.com.br/amortecedor-suspensao-diant-para-mb-2831-axor-l13327/up/MLBU3542650607?pdp_filters=issues_invoice%3Ayes#polycard_client=search-desktop&amp;search_layout=grid&amp;position=7&amp;type=product&amp;tracking_id=be828bba-4004-432c-bac2-14d60958d5c5&amp;wid=MLB4293625075&amp;sid=search</t>
  </si>
  <si>
    <t>https://www.mercadolivre.com.br/amortecedor-suspensao-diant-para-mb-axor-2831-l13327/up/MLBU2837888913?pdp_filters=issues_invoice%3Ayes#polycard_client=search-desktop&amp;search_layout=grid&amp;position=6&amp;type=product&amp;tracking_id=be828bba-4004-432c-bac2-14d60958d5c5&amp;wid=MLB3914002735&amp;sid=search</t>
  </si>
  <si>
    <t>D-AMD3101</t>
  </si>
  <si>
    <t>AMD3101</t>
  </si>
  <si>
    <t>MITSUBISHI - L200 - 2004/2012 - Front</t>
  </si>
  <si>
    <t>B47885</t>
  </si>
  <si>
    <t>https://www.mercadolivre.com.br/1-amortecedor-diant-mitsubish-l200-outdoor-0711-b47885-cof/up/MLBU1142092377#polycard_client=search-desktop&amp;search_layout=stack&amp;position=49&amp;type=product&amp;tracking_id=6f142c88-e1b8-4ac7-8e93-86a9420e9b15&amp;wid=MLB3615816402&amp;sid=search</t>
  </si>
  <si>
    <t>D-AMD3307</t>
  </si>
  <si>
    <t>AMD3307</t>
  </si>
  <si>
    <t>NISSAN - VERSA - 2021/2026 - Front RIGHT</t>
  </si>
  <si>
    <t>GP30638</t>
  </si>
  <si>
    <t>https://www.mercadolivre.com.br/amortecedor-traseiro-suspensao-1-unidade-cofap-gb48445/up/MLBU3860796796#polycard_client=search-desktop&amp;search_layout=grid&amp;position=1&amp;type=product&amp;tracking_id=d55a02c7-4212-4e39-9ff9-0f64754fd208&amp;wid=MLB4546359601&amp;sid=search</t>
  </si>
  <si>
    <t>1Z01X06A6737708109</t>
  </si>
  <si>
    <t>D-AMD3314</t>
  </si>
  <si>
    <t>AMD3314</t>
  </si>
  <si>
    <t>NISSAN - VERSA - 2021/2026 - REAR RH/LH</t>
  </si>
  <si>
    <t>GB48445</t>
  </si>
  <si>
    <t>D-AMD3338</t>
  </si>
  <si>
    <t>AMD3338</t>
  </si>
  <si>
    <t>NISSAN - SENTRA - DIANT. LD - 2023/2026</t>
  </si>
  <si>
    <t>HG 41586 DIR</t>
  </si>
  <si>
    <t>NÃO ENVIADO</t>
  </si>
  <si>
    <t>D-AMD3916</t>
  </si>
  <si>
    <t>AMD3916</t>
  </si>
  <si>
    <t>Volvo -  XC90  - 2002/2015 - Front</t>
  </si>
  <si>
    <t>AMT314D</t>
  </si>
  <si>
    <t>https://www.mercadolivre.com.br/amortecedor-dianteiro-willtec-volvo-xc90-2011-2012-2013-2014/up/MLBU1429505661#polycard_client=search-desktop&amp;search_layout=grid&amp;position=33&amp;type=product&amp;tracking_id=dc282065-9704-4ee0-9239-b15c90aaa582&amp;wid=MLB2902026986&amp;sid=search</t>
  </si>
  <si>
    <t>https://www.mercadolivre.com.br/amortecedor-dianteiro-willtec-volvo-xc90-2010-2011-2012-2013/up/MLBU600145584#polycard_client=search-desktop&amp;search_layout=grid&amp;position=43&amp;type=product&amp;tracking_id=dc282065-9704-4ee0-9239-b15c90aaa582&amp;wid=MLB1971664820&amp;sid=search</t>
  </si>
  <si>
    <t>https://www.mercadolivre.com.br/amortecedor-dianteiro-willtec-volvo-xc90-2011-2012-2013-2014/up/MLBU597673881#polycard_client=search-desktop&amp;search_layout=grid&amp;position=28&amp;type=product&amp;tracking_id=dc282065-9704-4ee0-9239-b15c90aaa582&amp;wid=MLB1971659363&amp;sid=search</t>
  </si>
  <si>
    <t>D-AMD3917</t>
  </si>
  <si>
    <t>AMD3917</t>
  </si>
  <si>
    <t>Volvo - XC90 - 2002/2015 - TRAS.LD/LE</t>
  </si>
  <si>
    <t>AMT314T</t>
  </si>
  <si>
    <t>https://www.mercadolivre.com.br/amortecedor-traseiro-willtec-volvo-xc90-2007-2008-2009-2010/up/MLBU1288961492#polycard_client=search-desktop&amp;search_layout=grid&amp;position=28&amp;type=product&amp;tracking_id=68eec02b-6756-42e3-a001-dd28ed904c45&amp;wid=MLB1971672104&amp;sid=search</t>
  </si>
  <si>
    <t>https://www.mercadolivre.com.br/amortecedor-traseiro-willtec-volvo-xc90-2004-ate-2014/up/MLBU1411037673#polycard_client=search-desktop&amp;search_layout=grid&amp;position=34&amp;type=product&amp;tracking_id=68eec02b-6756-42e3-a001-dd28ed904c45&amp;wid=MLB1921656388&amp;sid=search</t>
  </si>
  <si>
    <t>https://www.mercadolivre.com.br/amortecedor-traseiro-willtec-volvo-xc90-2007-2008-2009-2010/up/MLBU1423217018#polycard_client=search-desktop&amp;search_layout=grid&amp;position=19&amp;type=product&amp;tracking_id=68eec02b-6756-42e3-a001-dd28ed904c45&amp;wid=MLB1921656513&amp;sid=search</t>
  </si>
  <si>
    <t>D-AMD3923</t>
  </si>
  <si>
    <t>AMD3923</t>
  </si>
  <si>
    <t>VOLVO - FM/FH4/FMX - 2013/2026 - TRAS.LD/LE</t>
  </si>
  <si>
    <t>https://www.mercadolivre.com.br/amortecedor-eixo-traseiro-para-volvo-fh4fm4-new/up/MLBU2739429023#polycard_client=search-desktop&amp;search_layout=grid&amp;position=4&amp;type=product&amp;tracking_id=62e6ee01-b417-4573-95d8-728278219643&amp;wid=MLB3905684959&amp;sid=search</t>
  </si>
  <si>
    <t>D-AMD3924</t>
  </si>
  <si>
    <t>AMD3924</t>
  </si>
  <si>
    <t>VOLVO - B9 - 2002/2012 - Front</t>
  </si>
  <si>
    <t>https://www.volvopecas.com.br/amortecedordoeixodianteiroparaonibusvolvo20726165k/p?srsltid=AfmBOoq2vnNdtQtHII0lZ3Ug8fUS1BROFU7OwbsBb-nnzf4BHAiLk1EU</t>
  </si>
  <si>
    <t>D-AMD3925</t>
  </si>
  <si>
    <t>AMD3925</t>
  </si>
  <si>
    <t>VOLVO - B9 - 2002/2026 - TRAS.LD/LE</t>
  </si>
  <si>
    <t>https://www.mercadolivre.com.br/20878633-amortecedor-suspensao-traseira-volvo--original-/up/MLBU3022541308#polycard_client=search-desktop&amp;search_layout=grid&amp;position=1&amp;type=product&amp;tracking_id=c4701935-ef64-4ab6-88b5-fe2424f32092&amp;wid=MLB3978979515&amp;sid=search</t>
  </si>
  <si>
    <t>D-AMD3994</t>
  </si>
  <si>
    <t>AMD3994</t>
  </si>
  <si>
    <t>VOLVO - FH-12 - 1996...2006 - TRAS. LD/LE</t>
  </si>
  <si>
    <t>https://www.mercadolivre.com.br/amortecedor-de-suspensao-dianteiro-cofap--vm-260--vm-270/up/MLBU3074640510?pdp_filters=issues_invoice%3Ayes#polycard_client=search-desktop&amp;search_layout=grid&amp;position=11&amp;type=product&amp;tracking_id=4af68ff0-7e00-4888-a7ba-087e3010a987&amp;wid=MLB5320088394&amp;sid=search</t>
  </si>
  <si>
    <t>https://www.mercadolivre.com.br/amortecedor-dianteiro-volvo-vm-260--270--2006-a-2022-cofap/up/MLBU770497174?pdp_filters=issues_invoice%3Ayes#polycard_client=search-desktop&amp;search_layout=grid&amp;position=19&amp;type=product&amp;tracking_id=4af68ff0-7e00-4888-a7ba-087e3010a987&amp;wid=MLB3681040273&amp;sid=search</t>
  </si>
  <si>
    <t>https://www.mercadolivre.com.br/amortecedor-dianteiro-l13698-cofap-volvo-vm-260-6x2/up/MLBU2974915480?pdp_filters=issues_invoice%3Ayes#polycard_client=search-desktop&amp;search_layout=grid&amp;position=48&amp;type=product&amp;tracking_id=4af68ff0-7e00-4888-a7ba-087e3010a987&amp;wid=MLB3957020185&amp;sid=search</t>
  </si>
  <si>
    <t>D-AMD3995</t>
  </si>
  <si>
    <t>AMD3995</t>
  </si>
  <si>
    <t>VOLVO - VM III 260 - 2006/2012 - Front</t>
  </si>
  <si>
    <t>L13698</t>
  </si>
  <si>
    <t>https://www.mercadolivre.com.br/amortecedor-dianteiro-volvo-vm-260--270--2006-a-2022-cofap/up/MLBU770497174?pdp_filters=item_id:MLB3681040273#is_advertising=true&amp;searchVariation=MLBU770497174&amp;backend_model=search-backend&amp;be_origin=backend&amp;position=1&amp;search_layout=grid&amp;type=pad&amp;tracking_id=3cecc1da-60a9-4aad-ab79-17709df3a786&amp;ad_domain=VQCATCORE_LST&amp;ad_position=1&amp;ad_click_id=Zjg3ZDI2NGItZmFjYy00YWRiLTkwY2MtOTA1ZmIyMDllOGI1</t>
  </si>
  <si>
    <t>D-AMD5491</t>
  </si>
  <si>
    <t>AMD5491</t>
  </si>
  <si>
    <t>KIA - CERATO - TRAS LD/LE - 2014/2026</t>
  </si>
  <si>
    <t>GB48363</t>
  </si>
  <si>
    <t>https://www.mercadolivre.com.br/amortecedor-traseiro-cerato-2016-cofap/up/MLBU1987527253#polycard_client=search-nordic&amp;search_layout=stack&amp;position=13&amp;type=product&amp;tracking_id=9eb7a4d4-9ccf-4fe9-af2e-9c8b062b95f3&amp;wid=MLB4839227880&amp;sid=search</t>
  </si>
  <si>
    <t>D-AMD6303</t>
  </si>
  <si>
    <t>AMD6303</t>
  </si>
  <si>
    <t>GWM - ORA 03 - DIANT. LD - 2024/2025</t>
  </si>
  <si>
    <t>2905175XGW02A (DIR)</t>
  </si>
  <si>
    <t>+55 11 99427-1950</t>
  </si>
  <si>
    <t>D-AMD6305</t>
  </si>
  <si>
    <t>AMD6305</t>
  </si>
  <si>
    <t>GWM - ORA 03 - TRAS. LD/LE - 2024/2025</t>
  </si>
  <si>
    <t xml:space="preserve">2915141XGW02A </t>
  </si>
  <si>
    <t>D-AMD7615</t>
  </si>
  <si>
    <t>AMD7615</t>
  </si>
  <si>
    <t>BYD - SONG PRO - 2024/2026 - FRONT LH</t>
  </si>
  <si>
    <t xml:space="preserve">SA2905200B </t>
  </si>
  <si>
    <t>+55 11 99743-5789</t>
  </si>
  <si>
    <t>D-AMD7616</t>
  </si>
  <si>
    <t>AMD7616</t>
  </si>
  <si>
    <t>BYD - SONG PRO - 2024/2026 - REAR RH</t>
  </si>
  <si>
    <t>SA2H2915B</t>
  </si>
  <si>
    <t>D-AMD7622</t>
  </si>
  <si>
    <t>AMD7622</t>
  </si>
  <si>
    <t>BYD - KING - DIANT. LD - 2024/2026</t>
  </si>
  <si>
    <t>HAD-2905010C</t>
  </si>
  <si>
    <t>D-AMD7624</t>
  </si>
  <si>
    <t>AMD7624</t>
  </si>
  <si>
    <t>BYD - KING - TRAS. LD/LE - 2024/2026</t>
  </si>
  <si>
    <t>HAD-2915030C</t>
  </si>
  <si>
    <t>D-AMD7629</t>
  </si>
  <si>
    <t>AMD7629</t>
  </si>
  <si>
    <t>BYD - SEAL - AW GS 590EV - TRAS. LD/LE- 2023/2025</t>
  </si>
  <si>
    <t>TA702905030AB</t>
  </si>
  <si>
    <t>D-AMD7630</t>
  </si>
  <si>
    <t>AMD7630</t>
  </si>
  <si>
    <t>BYD - SEAL - AW GS 590EV - DIANT. LD - 2023/2025</t>
  </si>
  <si>
    <t>TA702905020AB (DIR)</t>
  </si>
  <si>
    <t>D-AMD2445</t>
  </si>
  <si>
    <t>AMD2445</t>
  </si>
  <si>
    <t>RAM RAMPAGE - 2.0 TURBO - R/T ESPORTIVA -  TRAS. LD/ LE - 2023 / 2026</t>
  </si>
  <si>
    <t>GL13855</t>
  </si>
  <si>
    <t>https://www.mercadolivre.com.br/amortecedor-traseiro-rampage-rt-20-turbo-2023-cofap/up/MLBU3858693484#polycard_client=search-desktop&amp;be_origin=backend&amp;search_layout=grid&amp;position=7&amp;type=product&amp;tracking_id=d5e2725d-b21f-4cde-a15c-504f8bc8bfe4&amp;wid=MLB6482961350&amp;sid=search</t>
  </si>
  <si>
    <t>D-AMD3906</t>
  </si>
  <si>
    <t>AMD3906</t>
  </si>
  <si>
    <t>VOLVO - XC60 - DIANT. LD/LE - 2018/2021</t>
  </si>
  <si>
    <t>D-AMD0128</t>
  </si>
  <si>
    <t>AMD0128</t>
  </si>
  <si>
    <t>FIAT - UNO FORGONETA - TRAS. LD/LE - 1988/2016</t>
  </si>
  <si>
    <t>SE 30761</t>
  </si>
  <si>
    <t>D-AMD3324</t>
  </si>
  <si>
    <t>AMD3324</t>
  </si>
  <si>
    <t>NISSAN - KAIT - DIANT. LD - 2026/2028</t>
  </si>
  <si>
    <t xml:space="preserve">543029XA0A  </t>
  </si>
  <si>
    <t>+55 11 96975-0940</t>
  </si>
  <si>
    <t>D-AMD3326</t>
  </si>
  <si>
    <t>AMD3326</t>
  </si>
  <si>
    <t>NISSAN - KAIT - TRAS.. LD/LE - 2026/2028</t>
  </si>
  <si>
    <t>562109XA0A</t>
  </si>
  <si>
    <t>D-AMD3350</t>
  </si>
  <si>
    <t>AMD3350</t>
  </si>
  <si>
    <t>NISSAN - KICKS 220T - DIANT. LD - 2026/2028</t>
  </si>
  <si>
    <t>543027LR0A</t>
  </si>
  <si>
    <t>D-AMD3352</t>
  </si>
  <si>
    <t>AMD3352</t>
  </si>
  <si>
    <t>NISSAN - KICKS 220T - TRAS. LD/LE - 2026/2028</t>
  </si>
  <si>
    <t>562107LR0A</t>
  </si>
  <si>
    <t>D-AMD1518</t>
  </si>
  <si>
    <t>AMD1518</t>
  </si>
  <si>
    <t>BMW 320I - DIANT. LD - 2018/2026</t>
  </si>
  <si>
    <t xml:space="preserve">AMTG342DD </t>
  </si>
  <si>
    <t>https://www.mercadolivre.com.br/par-amortecedor-dianteiro-bmw-320i-g20-g21-2019-2020-2021/up/MLBU3033534487?pdp_filters=item_id:MLB5299125266</t>
  </si>
  <si>
    <t>https://www.mercadolivre.com.br/amortecedor-dianteiro-bmw-320i-330i-g20-2019-2020-2021-lado/up/MLBU3900485445#polycard_client=search-desktop&amp;be_origin=backend&amp;overlay_label=not_apply&amp;search_layout=stack&amp;position=5&amp;type=product&amp;tracking_id=d9ae6122-72ef-4efb-9007-badd24e7bd15&amp;wid=MLB4887359371&amp;sid=search</t>
  </si>
  <si>
    <t>D-AMD7608</t>
  </si>
  <si>
    <t>AMD7608</t>
  </si>
  <si>
    <t>BYD - SHARK - DIANT. LD/LE - 2024/2026</t>
  </si>
  <si>
    <t>15468213-00</t>
  </si>
  <si>
    <t>SETEMBRO</t>
  </si>
  <si>
    <t>D-AMD7609</t>
  </si>
  <si>
    <t>AMD7609</t>
  </si>
  <si>
    <t>BYD - SHARK - TRAS. LD/LE - 2024/2026</t>
  </si>
  <si>
    <t>15468216-00</t>
  </si>
  <si>
    <t>D-AMD0416</t>
  </si>
  <si>
    <t>AMD0416</t>
  </si>
  <si>
    <t>HONDA - WR-V - DIANT. LD - 2026/2028</t>
  </si>
  <si>
    <t>+55 11 99423-5945</t>
  </si>
  <si>
    <t>D-AMD0418</t>
  </si>
  <si>
    <t>AMD0418</t>
  </si>
  <si>
    <t>HONDA - WR-V - TRAS. LD/LE - 2026/2028</t>
  </si>
  <si>
    <t>D-AMD0607</t>
  </si>
  <si>
    <t>AMD0607</t>
  </si>
  <si>
    <t>RENAULT - BOREAL - DIANT. LD/LE - 2026/2028</t>
  </si>
  <si>
    <t>543024667R</t>
  </si>
  <si>
    <t>+55 11 96627-1058</t>
  </si>
  <si>
    <t>D-AMD0608</t>
  </si>
  <si>
    <t>AMD0608</t>
  </si>
  <si>
    <t>RENAULT - BOREAL - TRAS. LD/LE - 2026/2028</t>
  </si>
  <si>
    <t>562105752R</t>
  </si>
  <si>
    <t>D-AMD5802</t>
  </si>
  <si>
    <t>AMD5802</t>
  </si>
  <si>
    <t>GEELY - EX02 - DIANT. LD - 2026/2028</t>
  </si>
  <si>
    <t>D-AMD5804</t>
  </si>
  <si>
    <t>AMD5804</t>
  </si>
  <si>
    <t>GEELY - EX02 - TRAS. LD - 2026/2028</t>
  </si>
  <si>
    <t>D-AMD0831</t>
  </si>
  <si>
    <t>AMD0831</t>
  </si>
  <si>
    <t>standy by</t>
  </si>
  <si>
    <t>VOLKSWAGEN - GOL - GTI - DIANT. LD/LE - 1996/2000</t>
  </si>
  <si>
    <t>CT 32771</t>
  </si>
  <si>
    <t>https://www.mercadolivre.com.br/amortecedor-dianteiro-diresq-nakata-paratigol-1994-a-2008/up/MLBU4111130703#polycard_client=search-desktop&amp;be_origin=backend&amp;overlay_label=not_apply&amp;search_layout=grid&amp;position=9&amp;type=product&amp;tracking_id=58dc62bc-be1e-4ba0-a744-9424c21d6329&amp;wid=MLB4789971883&amp;sid=search</t>
  </si>
  <si>
    <t>D-AMD0740</t>
  </si>
  <si>
    <t>AMD0740</t>
  </si>
  <si>
    <t>TOYOTA - YARIS CROSS - DIANT. LD - 2026/2028</t>
  </si>
  <si>
    <t>+55 43 9168-7620</t>
  </si>
  <si>
    <t>D-AMD0742</t>
  </si>
  <si>
    <t>AMD0742</t>
  </si>
  <si>
    <t>TOYOTA - YARIS CROSS - TRAS LD/LE - 2026/2028</t>
  </si>
  <si>
    <t>D-AMD5806</t>
  </si>
  <si>
    <t>AMD5806</t>
  </si>
  <si>
    <t>GEELY - EX5 - DIANT. LD - 2026/2028</t>
  </si>
  <si>
    <t>D-AMD5808</t>
  </si>
  <si>
    <t>AMD5808</t>
  </si>
  <si>
    <t>GEELY - EX5 - TRAS. LD/LE - 2026/2028</t>
  </si>
  <si>
    <t>D-AMD0622</t>
  </si>
  <si>
    <t>AMD0622</t>
  </si>
  <si>
    <t>RENAULT + LOGAN - 1.0 - AMORTECEDOR DIANT. LD/LE - 2013/2024</t>
  </si>
  <si>
    <t>GP30579</t>
  </si>
  <si>
    <t>https://produto.mercadolivre.com.br/MLB-4657718780-amortecedor-dianteiro-logan-sandero-2015-a-2020-cofap-_JM?searchVariation=180420683644#polycard_client=search-desktop&amp;searchVariation=180420683644&amp;be_origin=backend&amp;overlay_label=not_apply&amp;search_layout=stack&amp;position=7&amp;type=item&amp;tracking_id=e1ce4caa-9fbc-4ccb-aac9-20a486a3c4bf&amp;sid=search</t>
  </si>
  <si>
    <t>1Z01X06A6736651252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</si>
</sst>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[$$-409]#,##0.00_ ;\-[$$-409]#,##0.00\ "/>
    <numFmt numFmtId="166" formatCode="_-[$$-409]* #,##0.00_ ;_-[$$-409]* \-#,##0.00\ ;_-[$$-409]* &quot;-&quot;??_ ;_-@_ "/>
    <numFmt numFmtId="167" formatCode="&quot;R$&quot;\ 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14"/>
      <color theme="0"/>
      <name val="Arial Black"/>
      <family val="2"/>
    </font>
    <font>
      <b/>
      <sz val="10"/>
      <color theme="0"/>
      <name val="Times New Roman"/>
      <family val="1"/>
    </font>
    <font>
      <b/>
      <sz val="9"/>
      <color theme="1"/>
      <name val="Times New Roman"/>
      <family val="1"/>
    </font>
    <font>
      <b/>
      <sz val="9"/>
      <color rgb="FF00B050"/>
      <name val="Times New Roman"/>
      <family val="1"/>
    </font>
    <font>
      <b/>
      <sz val="10"/>
      <color rgb="FF00B050"/>
      <name val="Times New Roman"/>
      <family val="1"/>
    </font>
    <font>
      <sz val="9"/>
      <color theme="0"/>
      <name val="Times New Roman"/>
      <family val="1"/>
    </font>
    <font>
      <b/>
      <sz val="8"/>
      <color theme="0"/>
      <name val="Times New Roman"/>
      <family val="1"/>
    </font>
    <font>
      <sz val="8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name val="Times New Roman"/>
      <family val="1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Times New Roman"/>
    </font>
    <font>
      <sz val="10"/>
      <color theme="1"/>
      <name val="Times New Roman"/>
    </font>
    <font>
      <b/>
      <sz val="10"/>
      <name val="Times New Roman"/>
    </font>
    <font>
      <b/>
      <sz val="10"/>
      <color rgb="FF00B05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23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4" fillId="3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6" fillId="4" borderId="2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2" fontId="6" fillId="4" borderId="0" xfId="0" applyNumberFormat="1" applyFont="1" applyFill="1" applyAlignment="1">
      <alignment horizontal="center" vertical="center"/>
    </xf>
    <xf numFmtId="0" fontId="5" fillId="5" borderId="3" xfId="0" applyFont="1" applyFill="1" applyBorder="1" applyAlignment="1">
      <alignment vertical="center" wrapText="1"/>
    </xf>
    <xf numFmtId="0" fontId="5" fillId="6" borderId="0" xfId="0" applyFont="1" applyFill="1" applyAlignment="1">
      <alignment vertical="center" wrapText="1"/>
    </xf>
    <xf numFmtId="164" fontId="2" fillId="0" borderId="0" xfId="0" applyNumberFormat="1" applyFont="1"/>
    <xf numFmtId="0" fontId="5" fillId="5" borderId="1" xfId="0" applyFont="1" applyFill="1" applyBorder="1" applyAlignment="1">
      <alignment horizontal="left" vertical="center" wrapText="1"/>
    </xf>
    <xf numFmtId="165" fontId="7" fillId="7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/>
    </xf>
    <xf numFmtId="0" fontId="10" fillId="0" borderId="0" xfId="0" applyFont="1"/>
    <xf numFmtId="0" fontId="11" fillId="0" borderId="1" xfId="0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166" fontId="11" fillId="0" borderId="1" xfId="0" quotePrefix="1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167" fontId="12" fillId="0" borderId="1" xfId="1" applyNumberFormat="1" applyFont="1" applyFill="1" applyBorder="1" applyAlignment="1">
      <alignment horizontal="center" vertical="center"/>
    </xf>
    <xf numFmtId="0" fontId="14" fillId="0" borderId="1" xfId="2" quotePrefix="1" applyFont="1" applyFill="1" applyBorder="1" applyAlignment="1">
      <alignment horizontal="center" vertical="center" wrapText="1"/>
    </xf>
    <xf numFmtId="44" fontId="12" fillId="0" borderId="1" xfId="1" applyFont="1" applyFill="1" applyBorder="1" applyAlignment="1">
      <alignment horizontal="center" vertical="center"/>
    </xf>
    <xf numFmtId="0" fontId="12" fillId="0" borderId="1" xfId="2" applyFont="1" applyFill="1" applyBorder="1" applyAlignment="1">
      <alignment horizontal="center" vertical="center" wrapText="1"/>
    </xf>
    <xf numFmtId="0" fontId="12" fillId="0" borderId="1" xfId="2" applyNumberFormat="1" applyFont="1" applyFill="1" applyBorder="1" applyAlignment="1">
      <alignment horizontal="center" vertical="center" wrapText="1"/>
    </xf>
    <xf numFmtId="0" fontId="11" fillId="0" borderId="1" xfId="2" applyNumberFormat="1" applyFont="1" applyFill="1" applyBorder="1" applyAlignment="1">
      <alignment horizontal="center" vertical="center" wrapText="1"/>
    </xf>
    <xf numFmtId="0" fontId="15" fillId="0" borderId="1" xfId="2" applyNumberFormat="1" applyFont="1" applyFill="1" applyBorder="1" applyAlignment="1">
      <alignment horizontal="center" vertical="center" wrapText="1"/>
    </xf>
    <xf numFmtId="0" fontId="16" fillId="0" borderId="1" xfId="2" applyNumberFormat="1" applyFont="1" applyFill="1" applyBorder="1" applyAlignment="1">
      <alignment horizontal="center" vertical="center" wrapText="1"/>
    </xf>
    <xf numFmtId="2" fontId="15" fillId="0" borderId="1" xfId="2" applyNumberFormat="1" applyFont="1" applyFill="1" applyBorder="1" applyAlignment="1">
      <alignment horizontal="center" vertical="center" wrapText="1"/>
    </xf>
    <xf numFmtId="164" fontId="7" fillId="0" borderId="1" xfId="1" applyNumberFormat="1" applyFont="1" applyFill="1" applyBorder="1" applyAlignment="1">
      <alignment horizontal="center" vertical="center"/>
    </xf>
    <xf numFmtId="166" fontId="7" fillId="0" borderId="1" xfId="1" applyNumberFormat="1" applyFont="1" applyFill="1" applyBorder="1" applyAlignment="1">
      <alignment horizontal="center" vertical="center"/>
    </xf>
    <xf numFmtId="167" fontId="12" fillId="0" borderId="1" xfId="1" quotePrefix="1" applyNumberFormat="1" applyFont="1" applyFill="1" applyBorder="1" applyAlignment="1">
      <alignment horizontal="center" vertical="center"/>
    </xf>
    <xf numFmtId="166" fontId="12" fillId="0" borderId="1" xfId="0" quotePrefix="1" applyNumberFormat="1" applyFont="1" applyFill="1" applyBorder="1" applyAlignment="1">
      <alignment horizontal="center" vertical="center" wrapText="1"/>
    </xf>
    <xf numFmtId="0" fontId="12" fillId="0" borderId="1" xfId="2" quotePrefix="1" applyFont="1" applyFill="1" applyBorder="1" applyAlignment="1">
      <alignment horizontal="center" vertical="center" wrapText="1"/>
    </xf>
    <xf numFmtId="8" fontId="12" fillId="0" borderId="1" xfId="1" applyNumberFormat="1" applyFont="1" applyFill="1" applyBorder="1" applyAlignment="1">
      <alignment horizontal="center" vertical="center"/>
    </xf>
    <xf numFmtId="0" fontId="11" fillId="0" borderId="1" xfId="2" quotePrefix="1" applyFont="1" applyFill="1" applyBorder="1" applyAlignment="1">
      <alignment horizontal="center" vertical="center" wrapText="1"/>
    </xf>
    <xf numFmtId="0" fontId="11" fillId="0" borderId="1" xfId="0" quotePrefix="1" applyNumberFormat="1" applyFont="1" applyFill="1" applyBorder="1" applyAlignment="1">
      <alignment horizontal="center" vertical="center" wrapText="1"/>
    </xf>
    <xf numFmtId="0" fontId="14" fillId="0" borderId="1" xfId="2" applyFont="1" applyFill="1" applyBorder="1" applyAlignment="1">
      <alignment vertical="center" wrapText="1"/>
    </xf>
    <xf numFmtId="0" fontId="14" fillId="0" borderId="1" xfId="2" applyFont="1" applyFill="1" applyBorder="1" applyAlignment="1">
      <alignment horizontal="center" vertical="center" wrapText="1"/>
    </xf>
    <xf numFmtId="0" fontId="14" fillId="0" borderId="1" xfId="2" applyNumberFormat="1" applyFont="1" applyFill="1" applyBorder="1" applyAlignment="1">
      <alignment horizontal="center" vertical="center" wrapText="1"/>
    </xf>
    <xf numFmtId="0" fontId="17" fillId="0" borderId="1" xfId="2" applyNumberFormat="1" applyFont="1" applyFill="1" applyBorder="1" applyAlignment="1">
      <alignment horizontal="center" vertical="center" wrapText="1"/>
    </xf>
    <xf numFmtId="0" fontId="17" fillId="0" borderId="1" xfId="2" quotePrefix="1" applyFont="1" applyFill="1" applyBorder="1" applyAlignment="1">
      <alignment horizontal="center" vertical="center" wrapText="1"/>
    </xf>
    <xf numFmtId="0" fontId="17" fillId="0" borderId="1" xfId="2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6" fillId="0" borderId="1" xfId="2" quotePrefix="1" applyFont="1" applyFill="1" applyBorder="1" applyAlignment="1">
      <alignment horizontal="center" vertical="center" wrapText="1"/>
    </xf>
    <xf numFmtId="166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166" fontId="12" fillId="0" borderId="1" xfId="0" applyNumberFormat="1" applyFont="1" applyFill="1" applyBorder="1" applyAlignment="1">
      <alignment horizontal="center" vertical="center" wrapText="1"/>
    </xf>
    <xf numFmtId="0" fontId="14" fillId="0" borderId="1" xfId="2" applyFont="1" applyFill="1" applyBorder="1" applyAlignment="1">
      <alignment horizontal="center" vertical="center"/>
    </xf>
    <xf numFmtId="0" fontId="13" fillId="0" borderId="1" xfId="2" applyFill="1" applyBorder="1" applyAlignment="1">
      <alignment horizontal="center" vertical="center"/>
    </xf>
    <xf numFmtId="0" fontId="12" fillId="0" borderId="1" xfId="0" applyFont="1" applyFill="1" applyBorder="1"/>
    <xf numFmtId="0" fontId="13" fillId="0" borderId="1" xfId="2" applyFill="1" applyBorder="1" applyAlignment="1">
      <alignment horizontal="center" vertical="center" wrapText="1"/>
    </xf>
    <xf numFmtId="44" fontId="12" fillId="0" borderId="1" xfId="1" applyFont="1" applyFill="1" applyBorder="1" applyAlignment="1">
      <alignment horizontal="center" vertical="center" wrapText="1"/>
    </xf>
    <xf numFmtId="0" fontId="12" fillId="0" borderId="1" xfId="0" quotePrefix="1" applyFont="1" applyFill="1" applyBorder="1" applyAlignment="1">
      <alignment horizontal="center" vertical="center"/>
    </xf>
    <xf numFmtId="166" fontId="11" fillId="0" borderId="5" xfId="0" quotePrefix="1" applyNumberFormat="1" applyFont="1" applyFill="1" applyBorder="1" applyAlignment="1">
      <alignment horizontal="center" vertical="center" wrapText="1"/>
    </xf>
    <xf numFmtId="0" fontId="11" fillId="0" borderId="5" xfId="0" quotePrefix="1" applyNumberFormat="1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/>
    </xf>
    <xf numFmtId="166" fontId="12" fillId="0" borderId="5" xfId="0" quotePrefix="1" applyNumberFormat="1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/>
    </xf>
    <xf numFmtId="167" fontId="12" fillId="0" borderId="5" xfId="1" quotePrefix="1" applyNumberFormat="1" applyFont="1" applyFill="1" applyBorder="1" applyAlignment="1">
      <alignment horizontal="center" vertical="center"/>
    </xf>
    <xf numFmtId="0" fontId="14" fillId="0" borderId="5" xfId="2" quotePrefix="1" applyFont="1" applyFill="1" applyBorder="1" applyAlignment="1">
      <alignment vertical="center" wrapText="1"/>
    </xf>
    <xf numFmtId="0" fontId="14" fillId="0" borderId="1" xfId="2" quotePrefix="1" applyFont="1" applyFill="1" applyBorder="1" applyAlignment="1">
      <alignment vertical="center" wrapText="1"/>
    </xf>
    <xf numFmtId="0" fontId="17" fillId="0" borderId="5" xfId="2" quotePrefix="1" applyFont="1" applyFill="1" applyBorder="1" applyAlignment="1">
      <alignment horizontal="center" vertical="center" wrapText="1"/>
    </xf>
    <xf numFmtId="0" fontId="16" fillId="0" borderId="5" xfId="2" applyNumberFormat="1" applyFont="1" applyFill="1" applyBorder="1" applyAlignment="1">
      <alignment horizontal="center" vertical="center" wrapText="1"/>
    </xf>
    <xf numFmtId="2" fontId="15" fillId="0" borderId="5" xfId="2" applyNumberFormat="1" applyFont="1" applyFill="1" applyBorder="1" applyAlignment="1">
      <alignment horizontal="center" vertical="center" wrapText="1"/>
    </xf>
    <xf numFmtId="0" fontId="15" fillId="0" borderId="5" xfId="2" applyNumberFormat="1" applyFont="1" applyFill="1" applyBorder="1" applyAlignment="1">
      <alignment horizontal="center" vertical="center" wrapText="1"/>
    </xf>
    <xf numFmtId="164" fontId="7" fillId="0" borderId="5" xfId="1" applyNumberFormat="1" applyFont="1" applyFill="1" applyBorder="1" applyAlignment="1">
      <alignment horizontal="center" vertical="center"/>
    </xf>
    <xf numFmtId="166" fontId="7" fillId="0" borderId="5" xfId="1" applyNumberFormat="1" applyFont="1" applyFill="1" applyBorder="1" applyAlignment="1">
      <alignment horizontal="center" vertical="center"/>
    </xf>
    <xf numFmtId="167" fontId="12" fillId="0" borderId="1" xfId="1" quotePrefix="1" applyNumberFormat="1" applyFont="1" applyFill="1" applyBorder="1" applyAlignment="1">
      <alignment horizontal="center" vertical="center" wrapText="1"/>
    </xf>
    <xf numFmtId="0" fontId="13" fillId="0" borderId="1" xfId="2" quotePrefix="1" applyFill="1" applyBorder="1" applyAlignment="1">
      <alignment horizontal="center" vertical="center" wrapText="1"/>
    </xf>
    <xf numFmtId="8" fontId="12" fillId="0" borderId="3" xfId="1" applyNumberFormat="1" applyFont="1" applyFill="1" applyBorder="1" applyAlignment="1">
      <alignment horizontal="center" vertical="center"/>
    </xf>
    <xf numFmtId="0" fontId="14" fillId="0" borderId="3" xfId="2" quotePrefix="1" applyFont="1" applyFill="1" applyBorder="1" applyAlignment="1">
      <alignment horizontal="center" vertical="center" wrapText="1"/>
    </xf>
    <xf numFmtId="166" fontId="11" fillId="0" borderId="3" xfId="0" applyNumberFormat="1" applyFont="1" applyFill="1" applyBorder="1" applyAlignment="1">
      <alignment horizontal="center" vertical="center" wrapText="1"/>
    </xf>
    <xf numFmtId="0" fontId="11" fillId="0" borderId="3" xfId="0" applyNumberFormat="1" applyFont="1" applyFill="1" applyBorder="1" applyAlignment="1">
      <alignment horizontal="center" vertical="center" wrapText="1"/>
    </xf>
    <xf numFmtId="166" fontId="12" fillId="0" borderId="3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/>
    </xf>
    <xf numFmtId="0" fontId="14" fillId="0" borderId="3" xfId="2" applyFont="1" applyFill="1" applyBorder="1" applyAlignment="1">
      <alignment horizontal="center" vertical="center" wrapText="1"/>
    </xf>
    <xf numFmtId="0" fontId="12" fillId="0" borderId="3" xfId="0" applyFont="1" applyFill="1" applyBorder="1"/>
    <xf numFmtId="0" fontId="15" fillId="0" borderId="3" xfId="2" applyNumberFormat="1" applyFont="1" applyFill="1" applyBorder="1" applyAlignment="1">
      <alignment horizontal="center" vertical="center" wrapText="1"/>
    </xf>
    <xf numFmtId="164" fontId="7" fillId="0" borderId="3" xfId="1" applyNumberFormat="1" applyFont="1" applyFill="1" applyBorder="1" applyAlignment="1">
      <alignment horizontal="center" vertical="center"/>
    </xf>
    <xf numFmtId="166" fontId="7" fillId="0" borderId="3" xfId="1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3" xfId="0" applyNumberFormat="1" applyFont="1" applyFill="1" applyBorder="1" applyAlignment="1">
      <alignment horizontal="center" vertical="center"/>
    </xf>
    <xf numFmtId="166" fontId="12" fillId="0" borderId="3" xfId="0" quotePrefix="1" applyNumberFormat="1" applyFont="1" applyFill="1" applyBorder="1" applyAlignment="1">
      <alignment horizontal="center" vertical="center" wrapText="1"/>
    </xf>
    <xf numFmtId="0" fontId="12" fillId="0" borderId="3" xfId="2" quotePrefix="1" applyFont="1" applyFill="1" applyBorder="1" applyAlignment="1">
      <alignment horizontal="center" vertical="center" wrapText="1"/>
    </xf>
    <xf numFmtId="2" fontId="15" fillId="0" borderId="3" xfId="2" applyNumberFormat="1" applyFont="1" applyFill="1" applyBorder="1" applyAlignment="1">
      <alignment horizontal="center" vertical="center" wrapText="1"/>
    </xf>
    <xf numFmtId="0" fontId="12" fillId="0" borderId="3" xfId="2" applyFont="1" applyFill="1" applyBorder="1" applyAlignment="1">
      <alignment horizontal="center" vertical="center" wrapText="1"/>
    </xf>
    <xf numFmtId="44" fontId="12" fillId="0" borderId="3" xfId="1" applyFont="1" applyFill="1" applyBorder="1" applyAlignment="1">
      <alignment horizontal="center" vertical="center"/>
    </xf>
    <xf numFmtId="0" fontId="12" fillId="0" borderId="3" xfId="2" applyNumberFormat="1" applyFont="1" applyFill="1" applyBorder="1" applyAlignment="1">
      <alignment horizontal="center" vertical="center" wrapText="1"/>
    </xf>
    <xf numFmtId="0" fontId="13" fillId="0" borderId="3" xfId="2" quotePrefix="1" applyFill="1" applyBorder="1" applyAlignment="1">
      <alignment horizontal="center" vertical="center"/>
    </xf>
    <xf numFmtId="167" fontId="12" fillId="0" borderId="3" xfId="1" quotePrefix="1" applyNumberFormat="1" applyFont="1" applyFill="1" applyBorder="1" applyAlignment="1">
      <alignment horizontal="center" vertical="center"/>
    </xf>
    <xf numFmtId="0" fontId="16" fillId="0" borderId="3" xfId="2" applyNumberFormat="1" applyFont="1" applyFill="1" applyBorder="1" applyAlignment="1">
      <alignment horizontal="center" vertical="center" wrapText="1"/>
    </xf>
    <xf numFmtId="0" fontId="13" fillId="0" borderId="3" xfId="2" applyFill="1" applyBorder="1" applyAlignment="1">
      <alignment horizontal="center" vertical="center"/>
    </xf>
    <xf numFmtId="166" fontId="18" fillId="0" borderId="3" xfId="0" applyNumberFormat="1" applyFont="1" applyFill="1" applyBorder="1" applyAlignment="1">
      <alignment horizontal="center" vertical="center" wrapText="1"/>
    </xf>
    <xf numFmtId="0" fontId="18" fillId="0" borderId="3" xfId="0" applyNumberFormat="1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/>
    </xf>
    <xf numFmtId="166" fontId="19" fillId="0" borderId="3" xfId="0" applyNumberFormat="1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20" fillId="0" borderId="3" xfId="2" applyNumberFormat="1" applyFont="1" applyFill="1" applyBorder="1" applyAlignment="1">
      <alignment horizontal="center" vertical="center" wrapText="1"/>
    </xf>
    <xf numFmtId="2" fontId="20" fillId="0" borderId="3" xfId="2" applyNumberFormat="1" applyFont="1" applyFill="1" applyBorder="1" applyAlignment="1">
      <alignment horizontal="center" vertical="center" wrapText="1"/>
    </xf>
    <xf numFmtId="164" fontId="21" fillId="0" borderId="3" xfId="1" applyNumberFormat="1" applyFont="1" applyFill="1" applyBorder="1" applyAlignment="1">
      <alignment horizontal="center" vertical="center"/>
    </xf>
    <xf numFmtId="166" fontId="21" fillId="0" borderId="3" xfId="1" applyNumberFormat="1" applyFont="1" applyFill="1" applyBorder="1" applyAlignment="1">
      <alignment horizontal="center" vertical="center"/>
    </xf>
    <xf numFmtId="166" fontId="18" fillId="0" borderId="1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3" fillId="0" borderId="1" xfId="2" quotePrefix="1" applyFill="1" applyBorder="1" applyAlignment="1">
      <alignment horizontal="center" vertical="center"/>
    </xf>
    <xf numFmtId="0" fontId="20" fillId="0" borderId="1" xfId="2" applyNumberFormat="1" applyFont="1" applyFill="1" applyBorder="1" applyAlignment="1">
      <alignment horizontal="center" vertical="center" wrapText="1"/>
    </xf>
    <xf numFmtId="2" fontId="20" fillId="0" borderId="1" xfId="2" applyNumberFormat="1" applyFont="1" applyFill="1" applyBorder="1" applyAlignment="1">
      <alignment horizontal="center" vertical="center" wrapText="1"/>
    </xf>
    <xf numFmtId="164" fontId="21" fillId="0" borderId="1" xfId="1" applyNumberFormat="1" applyFont="1" applyFill="1" applyBorder="1" applyAlignment="1">
      <alignment horizontal="center" vertical="center"/>
    </xf>
    <xf numFmtId="166" fontId="21" fillId="0" borderId="1" xfId="1" applyNumberFormat="1" applyFont="1" applyFill="1" applyBorder="1" applyAlignment="1">
      <alignment horizontal="center" vertical="center"/>
    </xf>
    <xf numFmtId="166" fontId="19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/>
  </cellXfs>
  <cellStyles count="3">
    <cellStyle name="Hiperlink" xfId="2" builtinId="8"/>
    <cellStyle name="Moeda" xfId="1" builtinId="4"/>
    <cellStyle name="Normal" xfId="0" builtinId="0"/>
  </cellStyles>
  <dxfs count="4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Times New Roman"/>
        <scheme val="none"/>
      </font>
      <numFmt numFmtId="166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Times New Roman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6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166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ENVIO%20DE%20AMOSTRA%20MES%20-%20FORNECEDOR%20-%20REV.00.xlsx" TargetMode="External"/><Relationship Id="rId2" Type="http://schemas.openxmlformats.org/officeDocument/2006/relationships/image" Target="../media/image1.png"/><Relationship Id="rId1" Type="http://schemas.openxmlformats.org/officeDocument/2006/relationships/hyperlink" Target="#'Base de dado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122465</xdr:colOff>
      <xdr:row>2</xdr:row>
      <xdr:rowOff>108857</xdr:rowOff>
    </xdr:from>
    <xdr:to>
      <xdr:col>0</xdr:col>
      <xdr:colOff>1292679</xdr:colOff>
      <xdr:row>4</xdr:row>
      <xdr:rowOff>176892</xdr:rowOff>
    </xdr:to>
    <xdr:grpSp>
      <xdr:nvGrpSpPr>
        <xdr:cNvPr id="2" name="Grupo 1">
          <a:hlinkClick xmlns:r="http://schemas.openxmlformats.org/officeDocument/2006/relationships" r:id="rId1"/>
        </xdr:cNvPr>
        <xdr:cNvGrpSpPr/>
      </xdr:nvGrpSpPr>
      <xdr:grpSpPr>
        <a:xfrm>
          <a:off x="122465" y="503464"/>
          <a:ext cx="1170214" cy="544285"/>
          <a:chOff x="122464" y="857250"/>
          <a:chExt cx="1170214" cy="503464"/>
        </a:xfrm>
        <a:solidFill>
          <a:schemeClr val="accent1">
            <a:lumMod val="50000"/>
          </a:schemeClr>
        </a:solidFill>
      </xdr:grpSpPr>
      <xdr:sp macro="" textlink="">
        <xdr:nvSpPr>
          <xdr:cNvPr id="3" name="Retângulo de cantos arredondados 2"/>
          <xdr:cNvSpPr/>
        </xdr:nvSpPr>
        <xdr:spPr>
          <a:xfrm>
            <a:off x="122464" y="857250"/>
            <a:ext cx="1170214" cy="503464"/>
          </a:xfrm>
          <a:prstGeom prst="roundRect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CaixaDeTexto 3"/>
          <xdr:cNvSpPr txBox="1"/>
        </xdr:nvSpPr>
        <xdr:spPr>
          <a:xfrm>
            <a:off x="149677" y="911678"/>
            <a:ext cx="1129393" cy="367393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600" b="1">
                <a:solidFill>
                  <a:schemeClr val="bg1"/>
                </a:solidFill>
              </a:rPr>
              <a:t>MENU</a:t>
            </a:r>
            <a:endParaRPr lang="pt-BR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oneCell">
    <xdr:from>
      <xdr:col>0</xdr:col>
      <xdr:colOff>0</xdr:colOff>
      <xdr:row>0</xdr:row>
      <xdr:rowOff>54429</xdr:rowOff>
    </xdr:from>
    <xdr:to>
      <xdr:col>2</xdr:col>
      <xdr:colOff>502853</xdr:colOff>
      <xdr:row>2</xdr:row>
      <xdr:rowOff>831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429"/>
          <a:ext cx="3227003" cy="346452"/>
        </a:xfrm>
        <a:prstGeom prst="rect">
          <a:avLst/>
        </a:prstGeom>
      </xdr:spPr>
    </xdr:pic>
    <xdr:clientData/>
  </xdr:twoCellAnchor>
  <xdr:twoCellAnchor editAs="absolute">
    <xdr:from>
      <xdr:col>12</xdr:col>
      <xdr:colOff>23504</xdr:colOff>
      <xdr:row>5</xdr:row>
      <xdr:rowOff>124939</xdr:rowOff>
    </xdr:from>
    <xdr:to>
      <xdr:col>13</xdr:col>
      <xdr:colOff>159575</xdr:colOff>
      <xdr:row>8</xdr:row>
      <xdr:rowOff>48244</xdr:rowOff>
    </xdr:to>
    <xdr:grpSp>
      <xdr:nvGrpSpPr>
        <xdr:cNvPr id="6" name="Grupo 5">
          <a:hlinkClick xmlns:r="http://schemas.openxmlformats.org/officeDocument/2006/relationships" r:id="rId3"/>
        </xdr:cNvPr>
        <xdr:cNvGrpSpPr/>
      </xdr:nvGrpSpPr>
      <xdr:grpSpPr>
        <a:xfrm>
          <a:off x="15059397" y="1186296"/>
          <a:ext cx="1170214" cy="494805"/>
          <a:chOff x="122464" y="857250"/>
          <a:chExt cx="1170214" cy="503464"/>
        </a:xfrm>
        <a:solidFill>
          <a:schemeClr val="accent6"/>
        </a:solidFill>
      </xdr:grpSpPr>
      <xdr:sp macro="" textlink="">
        <xdr:nvSpPr>
          <xdr:cNvPr id="7" name="Retângulo de cantos arredondados 6"/>
          <xdr:cNvSpPr/>
        </xdr:nvSpPr>
        <xdr:spPr>
          <a:xfrm>
            <a:off x="122464" y="857250"/>
            <a:ext cx="1170214" cy="503464"/>
          </a:xfrm>
          <a:prstGeom prst="roundRect">
            <a:avLst/>
          </a:prstGeom>
          <a:grpFill/>
          <a:ln>
            <a:solidFill>
              <a:schemeClr val="accent6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" name="CaixaDeTexto 7"/>
          <xdr:cNvSpPr txBox="1"/>
        </xdr:nvSpPr>
        <xdr:spPr>
          <a:xfrm>
            <a:off x="149677" y="911678"/>
            <a:ext cx="1129393" cy="367393"/>
          </a:xfrm>
          <a:prstGeom prst="rect">
            <a:avLst/>
          </a:prstGeom>
          <a:grpFill/>
          <a:ln w="9525" cmpd="sng">
            <a:solidFill>
              <a:schemeClr val="accent6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600" b="1">
                <a:solidFill>
                  <a:schemeClr val="bg1"/>
                </a:solidFill>
              </a:rPr>
              <a:t>Envio</a:t>
            </a:r>
          </a:p>
        </xdr:txBody>
      </xdr:sp>
    </xdr:grpSp>
    <xdr:clientData/>
  </xdr:twoCellAnchor>
  <xdr:twoCellAnchor editAs="absolute">
    <xdr:from>
      <xdr:col>12</xdr:col>
      <xdr:colOff>37727</xdr:colOff>
      <xdr:row>8</xdr:row>
      <xdr:rowOff>147330</xdr:rowOff>
    </xdr:from>
    <xdr:to>
      <xdr:col>13</xdr:col>
      <xdr:colOff>911584</xdr:colOff>
      <xdr:row>11</xdr:row>
      <xdr:rowOff>81643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9" name="ENVIA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VIA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73620" y="1780187"/>
              <a:ext cx="1908000" cy="9412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 de tabela. Segmentações de dados de tabela têm suporte no Excel 2013 ou em versões posteriores.
Se a forma tiver sido modificada em uma versão anterior do Excel, ou se a pasta de trabalho tiver sido salva no Excel 2007 ou em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51707</xdr:colOff>
      <xdr:row>11</xdr:row>
      <xdr:rowOff>148319</xdr:rowOff>
    </xdr:from>
    <xdr:to>
      <xdr:col>13</xdr:col>
      <xdr:colOff>925564</xdr:colOff>
      <xdr:row>15</xdr:row>
      <xdr:rowOff>40822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" name="PENDENTE DES. FOR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NDENTE DES. FOR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87600" y="2788105"/>
              <a:ext cx="1908000" cy="8722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 de tabela. Segmentações de dados de tabela têm suporte no Excel 2013 ou em versões posteriores.
Se a forma tiver sido modificada em uma versão anterior do Excel, ou se a pasta de trabalho tiver sido salva no Excel 2007 ou em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rives%20compartilhados/DESENVOLVIMENTO/EQUIPE/ITALO%20CUELLAS/Amortecedores/Base_Dados_Amortecedores%20-%20Rev.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rives%20compartilhados/DESENVOLVIMENTO/EQUIPE/ITALO%20CUELLAS/Amortecedores/ControleAtividadesAmorteced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e dados"/>
      <sheetName val="Em Desenvolvimento"/>
      <sheetName val="MÊS"/>
      <sheetName val="Redesenvolvimento"/>
      <sheetName val="Compra Amostra"/>
      <sheetName val="ItensVigentes"/>
      <sheetName val="Controle ECO"/>
      <sheetName val="MOTORCRAFT"/>
      <sheetName val="REFERENCIA CRUZADA"/>
      <sheetName val="NAKATA"/>
      <sheetName val="Estrutura"/>
      <sheetName val="LADOS"/>
      <sheetName val="INMETRO ZS"/>
      <sheetName val="INMETRO E-WIN"/>
      <sheetName val="COFAP MOTOS"/>
      <sheetName val="INMETRO XGM"/>
      <sheetName val="BRPROAUTO"/>
      <sheetName val="Plan1"/>
      <sheetName val="AtulizaEstrutura"/>
      <sheetName val="MOLA INTER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ividades"/>
      <sheetName val="Plan1"/>
      <sheetName val="BaseTarefas"/>
      <sheetName val="ControleAtividadesAmortecedor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ENVIAR1" sourceName="ENVIAR">
  <extLst>
    <x:ext xmlns:x15="http://schemas.microsoft.com/office/spreadsheetml/2010/11/main" uri="{2F2917AC-EB37-4324-AD4E-5DD8C200BD13}">
      <x15:tableSlicerCache tableId="1" column="15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PENDENTE_DES._FORN" sourceName="PENDENTE DES. FORN">
  <extLst>
    <x:ext xmlns:x15="http://schemas.microsoft.com/office/spreadsheetml/2010/11/main" uri="{2F2917AC-EB37-4324-AD4E-5DD8C200BD13}">
      <x15:tableSlicerCache tableId="1" column="2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ENVIAR 1" cache="SegmentaçãodeDados_ENVIAR1" caption="ENVIAR" style="SlicerStyleLight6" rowHeight="241300"/>
  <slicer name="PENDENTE DES. FORN" cache="SegmentaçãodeDados_PENDENTE_DES._FORN" caption="PEND. DES FORN" style="SlicerStyleLight6" rowHeight="241300"/>
</slicers>
</file>

<file path=xl/tables/table1.xml><?xml version="1.0" encoding="utf-8"?>
<table xmlns="http://schemas.openxmlformats.org/spreadsheetml/2006/main" id="1" name="Tabela8" displayName="Tabela8" ref="A18:Y118" totalsRowShown="0" headerRowDxfId="28" dataDxfId="27" headerRowBorderDxfId="25" tableBorderDxfId="26" dataCellStyle="Hiperlink">
  <autoFilter ref="A18:Y118"/>
  <tableColumns count="25">
    <tableColumn id="1" name="CÓDIGO ENVIO" dataDxfId="24"/>
    <tableColumn id="2" name="PERFECT" dataDxfId="23"/>
    <tableColumn id="3" name="N° SC" dataDxfId="22"/>
    <tableColumn id="4" name="APLICAÇÃO" dataDxfId="21"/>
    <tableColumn id="5" name="CÓDIGO AMOSTRA" dataDxfId="20"/>
    <tableColumn id="6" name="PREÇO 1" dataDxfId="19"/>
    <tableColumn id="7" name="LINK 1 / CONTATO" dataDxfId="18" dataCellStyle="Hiperlink"/>
    <tableColumn id="8" name="PREÇO 2" dataDxfId="17"/>
    <tableColumn id="9" name="LINK 2" dataDxfId="16"/>
    <tableColumn id="10" name="PREÇO 3" dataDxfId="15"/>
    <tableColumn id="11" name="LINK3" dataDxfId="14"/>
    <tableColumn id="19" name="SC ABERTA" dataDxfId="13">
      <calculatedColumnFormula>IF(Tabela8[[#This Row],[N° SC]]&gt;1,"SIM","NÃO")</calculatedColumnFormula>
    </tableColumn>
    <tableColumn id="12" name="CHEGOU" dataDxfId="12" dataCellStyle="Hiperlink"/>
    <tableColumn id="13" name="PROJETO FINALIZADO" dataDxfId="11" dataCellStyle="Hiperlink"/>
    <tableColumn id="14" name="PROJETO APROVADO" dataDxfId="10" dataCellStyle="Hiperlink"/>
    <tableColumn id="15" name="ENVIAR" dataDxfId="9" dataCellStyle="Hiperlink"/>
    <tableColumn id="18" name="CÓD. RASTREIO" dataDxfId="8" dataCellStyle="Hiperlink"/>
    <tableColumn id="22" name="PENDENTE DES. FORN" dataDxfId="7" dataCellStyle="Hiperlink"/>
    <tableColumn id="20" name="MÊS" dataDxfId="6" dataCellStyle="Hiperlink"/>
    <tableColumn id="25" name="FORNECEDOR" dataDxfId="5" dataCellStyle="Hiperlink"/>
    <tableColumn id="21" name="CREDIT NOTE" dataDxfId="4" dataCellStyle="Hiperlink"/>
    <tableColumn id="23" name="PESO LIQ. (KG)" dataDxfId="3" dataCellStyle="Hiperlink"/>
    <tableColumn id="24" name="PESO BRUT. (KG)" dataDxfId="2" dataCellStyle="Hiperlink"/>
    <tableColumn id="16" name="MELHOR PREÇO" dataDxfId="1" dataCellStyle="Moeda">
      <calculatedColumnFormula>IFERROR(SMALL(F19:J19,1),"-")</calculatedColumnFormula>
    </tableColumn>
    <tableColumn id="17" name="PREÇO DOLAR" dataDxfId="0" dataCellStyle="Moeda">
      <calculatedColumnFormula>ROUNDUP(X19/$Y$17,2)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vre.com.br/amortecedor-traseiro-volkswagen-express-delivery-cofap/up/MLBU794329179" TargetMode="External"/><Relationship Id="rId13" Type="http://schemas.openxmlformats.org/officeDocument/2006/relationships/hyperlink" Target="https://www.mercadolivre.com.br/amortecedor-traseiro-45384-cofap-ford-cargo-8161119/up/MLBU2980294594" TargetMode="External"/><Relationship Id="rId18" Type="http://schemas.openxmlformats.org/officeDocument/2006/relationships/hyperlink" Target="https://www.mercadolivre.com.br/par-amortecedor-dianteiro-bmw-320i-g20-g21-2019-2020-2021/up/MLBU3033534487?pdp_filters=item_id:MLB5299125266" TargetMode="External"/><Relationship Id="rId3" Type="http://schemas.openxmlformats.org/officeDocument/2006/relationships/hyperlink" Target="https://www.mercadolivre.com.br/amortecedor-commander-2021-a-2024-cofap-gp33442/up/MLBU1001565175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s://www.mercadolivre.com.br/amortecedor-traseiro-santa-fe-2011-a-2014-cofap/up/MLBU795744159" TargetMode="External"/><Relationship Id="rId12" Type="http://schemas.openxmlformats.org/officeDocument/2006/relationships/hyperlink" Target="https://www.mercadolivre.com.br/amortecedor-de-suspensao-traseiro-cofap----45384/up/MLBU2305273792" TargetMode="External"/><Relationship Id="rId17" Type="http://schemas.openxmlformats.org/officeDocument/2006/relationships/hyperlink" Target="https://mercadocar.com.br/tras-versa-advanceexclusive-20-cofap-gb48445-2" TargetMode="External"/><Relationship Id="rId2" Type="http://schemas.openxmlformats.org/officeDocument/2006/relationships/hyperlink" Target="https://www.mercadolivre.com.br/amortecedor-traseiro-peugeot-3008-5008-2018-cofap/up/MLBU1435191574" TargetMode="External"/><Relationship Id="rId16" Type="http://schemas.openxmlformats.org/officeDocument/2006/relationships/hyperlink" Target="https://mercadocar.com.br/amortecedor-de-suspensao-traseiro-kia-motors-stonic-cofap-gb48476" TargetMode="External"/><Relationship Id="rId20" Type="http://schemas.openxmlformats.org/officeDocument/2006/relationships/drawing" Target="../drawings/drawing1.xml"/><Relationship Id="rId1" Type="http://schemas.openxmlformats.org/officeDocument/2006/relationships/externalLinkPath" Target="/Drives%20compartilhados/DESENVOLVIMENTO/EQUIPE/ITALO%20CUELLAS/Amortecedores/DES%20-%20Like/linha%20leve/COTACAO%20AMOSTRA%20-%20LINHA%20LEVE%20-%20REV.01%20(2).xlsx" TargetMode="External"/><Relationship Id="rId6" Type="http://schemas.openxmlformats.org/officeDocument/2006/relationships/hyperlink" Target="https://www.mercadolivre.com.br/amortecedor-traseiro-santa-fe-2011-a-2014-cofap/up/MLBU1479955472" TargetMode="External"/><Relationship Id="rId11" Type="http://schemas.openxmlformats.org/officeDocument/2006/relationships/hyperlink" Target="https://www.volvopecas.com.br/amortecedordoeixodianteiroparaonibusvolvo20726165k/p?srsltid=AfmBOoq2vnNdtQtHII0lZ3Ug8fUS1BROFU7OwbsBb-nnzf4BHAiLk1EU" TargetMode="External"/><Relationship Id="rId5" Type="http://schemas.openxmlformats.org/officeDocument/2006/relationships/hyperlink" Target="https://www.mercadolivre.com.br/amortecedor-traseiro-santa-fe-2011-a-2014-cofap/up/MLBU1097638411" TargetMode="External"/><Relationship Id="rId15" Type="http://schemas.openxmlformats.org/officeDocument/2006/relationships/hyperlink" Target="https://www.mercadolivre.com.br/amortecedor-dianteiro-esquerdo-original-peugeot-2008/up/MLBU3690905371" TargetMode="External"/><Relationship Id="rId10" Type="http://schemas.openxmlformats.org/officeDocument/2006/relationships/hyperlink" Target="https://www.mercadolivre.com.br/amortecedor-eixo-traseiro-para-volvo-fh4fm4-new/up/MLBU2739429023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mercadocar.com.br/amortecedor-traseiro-jeep-commander-lado-direito-cofap-gp33442" TargetMode="External"/><Relationship Id="rId9" Type="http://schemas.openxmlformats.org/officeDocument/2006/relationships/hyperlink" Target="https://www.mercadolivre.com.br/amortecedor-dianteiro-esquerdo-vw-novo-delivery-6160/up/MLBU1158860083" TargetMode="External"/><Relationship Id="rId14" Type="http://schemas.openxmlformats.org/officeDocument/2006/relationships/hyperlink" Target="https://www.mercadolivre.com.br/amortecedor-de-suspensao-traseiro-cofap--45384/up/MLBU2354869801" TargetMode="External"/><Relationship Id="rId22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Y118"/>
  <sheetViews>
    <sheetView showGridLines="0" tabSelected="1" topLeftCell="A12" zoomScale="70" zoomScaleNormal="70" workbookViewId="0">
      <selection activeCell="F27" sqref="F27"/>
    </sheetView>
  </sheetViews>
  <sheetFormatPr defaultColWidth="9.140625" defaultRowHeight="12" outlineLevelRow="1" outlineLevelCol="1" x14ac:dyDescent="0.2"/>
  <cols>
    <col min="1" max="4" width="20.42578125" style="1" customWidth="1"/>
    <col min="5" max="5" width="24" style="1" customWidth="1"/>
    <col min="6" max="6" width="17.42578125" style="1" customWidth="1"/>
    <col min="7" max="7" width="18.42578125" style="1" customWidth="1"/>
    <col min="8" max="8" width="14.42578125" style="1" customWidth="1" outlineLevel="1"/>
    <col min="9" max="9" width="16.7109375" style="1" customWidth="1" outlineLevel="1"/>
    <col min="10" max="10" width="15.28515625" style="1" customWidth="1" outlineLevel="1"/>
    <col min="11" max="11" width="19.42578125" style="1" customWidth="1" outlineLevel="1"/>
    <col min="12" max="12" width="18.140625" style="1" customWidth="1"/>
    <col min="13" max="13" width="15.42578125" style="1" customWidth="1"/>
    <col min="14" max="14" width="27.28515625" style="1" customWidth="1"/>
    <col min="15" max="15" width="21.28515625" style="1" customWidth="1"/>
    <col min="16" max="16" width="15.85546875" style="1" customWidth="1"/>
    <col min="17" max="17" width="25.85546875" style="1" customWidth="1"/>
    <col min="18" max="23" width="24" style="1" customWidth="1"/>
    <col min="24" max="24" width="17" style="1" customWidth="1"/>
    <col min="25" max="25" width="16.140625" style="1" customWidth="1"/>
    <col min="26" max="16384" width="9.140625" style="1"/>
  </cols>
  <sheetData>
    <row r="2" spans="1:25" ht="19.5" customHeight="1" x14ac:dyDescent="0.2"/>
    <row r="3" spans="1:25" ht="15" customHeight="1" x14ac:dyDescent="0.2"/>
    <row r="4" spans="1:25" ht="22.5" customHeight="1" x14ac:dyDescent="0.2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3"/>
    </row>
    <row r="5" spans="1:25" customFormat="1" ht="15" x14ac:dyDescent="0.25">
      <c r="H5" s="4"/>
      <c r="I5" s="4"/>
      <c r="J5" s="4"/>
      <c r="K5" s="4"/>
      <c r="L5" s="4"/>
      <c r="M5" s="4"/>
      <c r="N5" s="4"/>
    </row>
    <row r="6" spans="1:25" customFormat="1" ht="15" outlineLevel="1" x14ac:dyDescent="0.25">
      <c r="H6" s="4"/>
      <c r="I6" s="4"/>
      <c r="J6" s="4"/>
      <c r="K6" s="4"/>
      <c r="L6" s="4"/>
      <c r="M6" s="4"/>
      <c r="N6" s="4"/>
    </row>
    <row r="7" spans="1:25" customFormat="1" ht="15" outlineLevel="1" x14ac:dyDescent="0.25">
      <c r="H7" s="4"/>
      <c r="I7" s="4"/>
      <c r="J7" s="4"/>
      <c r="K7" s="4"/>
      <c r="L7" s="4"/>
      <c r="M7" s="4"/>
      <c r="N7" s="4"/>
    </row>
    <row r="8" spans="1:25" customFormat="1" ht="15" customHeight="1" outlineLevel="1" x14ac:dyDescent="0.25">
      <c r="A8" s="5" t="s">
        <v>1</v>
      </c>
      <c r="B8" s="5"/>
      <c r="C8" s="5"/>
      <c r="E8" s="5" t="s">
        <v>2</v>
      </c>
      <c r="F8" s="5"/>
      <c r="H8" s="6"/>
      <c r="I8" s="6"/>
      <c r="J8" s="6"/>
      <c r="K8" s="6"/>
      <c r="L8" s="5" t="s">
        <v>3</v>
      </c>
      <c r="M8" s="5"/>
      <c r="N8" s="5"/>
      <c r="O8" s="5"/>
    </row>
    <row r="9" spans="1:25" ht="19.5" customHeight="1" outlineLevel="1" x14ac:dyDescent="0.2">
      <c r="A9" s="7" t="s">
        <v>4</v>
      </c>
      <c r="B9" s="7"/>
      <c r="C9" s="8">
        <f>SUMIF(Tabela8[SC ABERTA],"SIM",Tabela8[MELHOR PREÇO])</f>
        <v>59786.734999999993</v>
      </c>
      <c r="E9" s="9" t="s">
        <v>5</v>
      </c>
      <c r="F9" s="10">
        <f>SUBTOTAL(3,A19:A1048576)</f>
        <v>100</v>
      </c>
      <c r="L9" s="9" t="s">
        <v>6</v>
      </c>
      <c r="M9" s="11">
        <f>SUMIF(Tabela8[MÊS],"JANEIRO",Tabela8[PREÇO DOLAR])</f>
        <v>667.14</v>
      </c>
      <c r="N9" s="9" t="s">
        <v>7</v>
      </c>
      <c r="O9" s="11">
        <f>SUMIF(Tabela8[MÊS],"JUNHO",Tabela8[PREÇO DOLAR])</f>
        <v>1439.63</v>
      </c>
    </row>
    <row r="10" spans="1:25" ht="36" outlineLevel="1" x14ac:dyDescent="0.2">
      <c r="A10" s="7" t="s">
        <v>8</v>
      </c>
      <c r="B10" s="7"/>
      <c r="C10" s="8">
        <f>SUBTOTAL(9,X19:X1048576)</f>
        <v>70302.785000000003</v>
      </c>
      <c r="E10" s="9" t="s">
        <v>9</v>
      </c>
      <c r="F10" s="10">
        <f>COUNTIFS(Tabela8[PROJETO FINALIZADO],"NÃO",Tabela8[PROJETO APROVADO],"NÃO")</f>
        <v>26</v>
      </c>
      <c r="L10" s="9" t="s">
        <v>10</v>
      </c>
      <c r="M10" s="12">
        <f>SUMIF(Tabela8[MÊS],"MARÇO",Tabela8[PREÇO DOLAR])</f>
        <v>1022.4496153846153</v>
      </c>
      <c r="N10" s="9" t="s">
        <v>11</v>
      </c>
      <c r="O10" s="12">
        <f>SUMIF(Tabela8[MÊS],"JULHO",Tabela8[PREÇO DOLAR])</f>
        <v>1813.68</v>
      </c>
    </row>
    <row r="11" spans="1:25" ht="24" customHeight="1" outlineLevel="1" x14ac:dyDescent="0.2">
      <c r="A11" s="7" t="s">
        <v>12</v>
      </c>
      <c r="B11" s="7"/>
      <c r="C11" s="10">
        <f>COUNTIF(Tabela8[CHEGOU],"SIM")</f>
        <v>78</v>
      </c>
      <c r="E11" s="9" t="s">
        <v>13</v>
      </c>
      <c r="F11" s="10">
        <f>COUNTIF(Tabela8[ENVIAR],"SIM")</f>
        <v>11</v>
      </c>
      <c r="L11" s="9" t="s">
        <v>14</v>
      </c>
      <c r="M11" s="12">
        <f>IFERROR(SUMIF(Tabela8[MÊS],"ABRIL",Tabela8[PREÇO DOLAR])," - ")</f>
        <v>1373.28</v>
      </c>
      <c r="N11" s="9" t="s">
        <v>15</v>
      </c>
      <c r="O11" s="12">
        <f>IFERROR(SUMIF(Tabela8[MÊS],"AGOSTO",Tabela8[PREÇO DOLAR])," - ")</f>
        <v>219.53</v>
      </c>
    </row>
    <row r="12" spans="1:25" ht="24" customHeight="1" outlineLevel="1" x14ac:dyDescent="0.2">
      <c r="A12" s="7" t="s">
        <v>16</v>
      </c>
      <c r="B12" s="7"/>
      <c r="C12" s="10">
        <f>COUNTIF(Tabela8[CHEGOU],"NÃO")</f>
        <v>22</v>
      </c>
      <c r="E12" s="9" t="s">
        <v>17</v>
      </c>
      <c r="F12" s="10">
        <f>COUNTIFS(Tabela8[SC ABERTA],"SIM",Tabela8[CHEGOU],"NÃO")</f>
        <v>9</v>
      </c>
      <c r="L12" s="13" t="s">
        <v>18</v>
      </c>
      <c r="M12" s="12">
        <f>IFERROR(SUMIF(Tabela8[MÊS],"MAIO",Tabela8[PREÇO DOLAR])," - ")</f>
        <v>721.65</v>
      </c>
      <c r="N12" s="13" t="s">
        <v>19</v>
      </c>
      <c r="O12" s="12">
        <f>IFERROR(SUMIF(Tabela8[MÊS],"SETEMBRO",Tabela8[PREÇO DOLAR])," - ")</f>
        <v>1490.6299999999999</v>
      </c>
    </row>
    <row r="13" spans="1:25" ht="24" customHeight="1" outlineLevel="1" x14ac:dyDescent="0.2">
      <c r="D13" s="14"/>
      <c r="E13" s="9" t="s">
        <v>20</v>
      </c>
      <c r="F13" s="10">
        <f>COUNTIF(Tabela8[PENDENTE DES. FORN],"sim")</f>
        <v>18</v>
      </c>
      <c r="H13" s="15"/>
      <c r="L13" s="16" t="s">
        <v>21</v>
      </c>
      <c r="M13" s="17">
        <f>SUM(M9:M12,O9:O12)</f>
        <v>8747.9896153846148</v>
      </c>
      <c r="N13" s="17"/>
      <c r="O13" s="17"/>
    </row>
    <row r="14" spans="1:25" ht="15" outlineLevel="1" x14ac:dyDescent="0.25">
      <c r="A14"/>
      <c r="B14"/>
      <c r="C14"/>
      <c r="D14"/>
      <c r="E14"/>
      <c r="L14" s="16" t="s">
        <v>22</v>
      </c>
      <c r="M14" s="17">
        <f>O11</f>
        <v>219.53</v>
      </c>
      <c r="N14" s="17"/>
      <c r="O14" s="17"/>
    </row>
    <row r="15" spans="1:25" ht="15" outlineLevel="1" x14ac:dyDescent="0.25">
      <c r="A15"/>
      <c r="B15"/>
      <c r="C15"/>
      <c r="D15"/>
      <c r="E15"/>
    </row>
    <row r="16" spans="1:25" ht="15" x14ac:dyDescent="0.25">
      <c r="A16"/>
      <c r="B16"/>
      <c r="C16"/>
      <c r="D16"/>
      <c r="E16"/>
    </row>
    <row r="17" spans="1:25" x14ac:dyDescent="0.2">
      <c r="A17" s="18" t="s">
        <v>23</v>
      </c>
      <c r="B17" s="18"/>
      <c r="C17" s="18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20">
        <v>5.13</v>
      </c>
    </row>
    <row r="18" spans="1:25" s="25" customFormat="1" ht="28.5" customHeight="1" collapsed="1" x14ac:dyDescent="0.2">
      <c r="A18" s="21" t="s">
        <v>24</v>
      </c>
      <c r="B18" s="22" t="s">
        <v>25</v>
      </c>
      <c r="C18" s="22" t="s">
        <v>26</v>
      </c>
      <c r="D18" s="22" t="s">
        <v>27</v>
      </c>
      <c r="E18" s="22" t="s">
        <v>28</v>
      </c>
      <c r="F18" s="22" t="s">
        <v>29</v>
      </c>
      <c r="G18" s="22" t="s">
        <v>30</v>
      </c>
      <c r="H18" s="22" t="s">
        <v>31</v>
      </c>
      <c r="I18" s="22" t="s">
        <v>32</v>
      </c>
      <c r="J18" s="22" t="s">
        <v>33</v>
      </c>
      <c r="K18" s="22" t="s">
        <v>34</v>
      </c>
      <c r="L18" s="22" t="s">
        <v>35</v>
      </c>
      <c r="M18" s="22" t="s">
        <v>36</v>
      </c>
      <c r="N18" s="23" t="s">
        <v>37</v>
      </c>
      <c r="O18" s="23" t="s">
        <v>38</v>
      </c>
      <c r="P18" s="22" t="s">
        <v>39</v>
      </c>
      <c r="Q18" s="22" t="s">
        <v>40</v>
      </c>
      <c r="R18" s="22" t="s">
        <v>41</v>
      </c>
      <c r="S18" s="22" t="s">
        <v>42</v>
      </c>
      <c r="T18" s="22" t="s">
        <v>43</v>
      </c>
      <c r="U18" s="22" t="s">
        <v>3</v>
      </c>
      <c r="V18" s="22" t="s">
        <v>44</v>
      </c>
      <c r="W18" s="22" t="s">
        <v>45</v>
      </c>
      <c r="X18" s="22" t="s">
        <v>46</v>
      </c>
      <c r="Y18" s="24" t="s">
        <v>47</v>
      </c>
    </row>
    <row r="19" spans="1:25" ht="37.5" customHeight="1" x14ac:dyDescent="0.2">
      <c r="A19" s="26" t="s">
        <v>48</v>
      </c>
      <c r="B19" s="27" t="s">
        <v>49</v>
      </c>
      <c r="C19" s="26">
        <v>7626</v>
      </c>
      <c r="D19" s="28" t="s">
        <v>50</v>
      </c>
      <c r="E19" s="29">
        <v>9873474480</v>
      </c>
      <c r="F19" s="30">
        <v>1875.06</v>
      </c>
      <c r="G19" s="31" t="s">
        <v>51</v>
      </c>
      <c r="H19" s="32" t="s">
        <v>52</v>
      </c>
      <c r="I19" s="33" t="s">
        <v>52</v>
      </c>
      <c r="J19" s="32" t="s">
        <v>52</v>
      </c>
      <c r="K19" s="34" t="s">
        <v>52</v>
      </c>
      <c r="L19" s="35" t="str">
        <f>IF(Tabela8[[#This Row],[N° SC]]&gt;1,"SIM","NÃO")</f>
        <v>SIM</v>
      </c>
      <c r="M19" s="36" t="s">
        <v>53</v>
      </c>
      <c r="N19" s="36" t="s">
        <v>53</v>
      </c>
      <c r="O19" s="36" t="s">
        <v>53</v>
      </c>
      <c r="P19" s="37" t="s">
        <v>54</v>
      </c>
      <c r="Q19" s="38" t="s">
        <v>55</v>
      </c>
      <c r="R19" s="38" t="s">
        <v>54</v>
      </c>
      <c r="S19" s="36" t="s">
        <v>56</v>
      </c>
      <c r="T19" s="36" t="s">
        <v>57</v>
      </c>
      <c r="U19" s="36" t="s">
        <v>52</v>
      </c>
      <c r="V19" s="36">
        <v>2.29</v>
      </c>
      <c r="W19" s="36">
        <v>2.57</v>
      </c>
      <c r="X19" s="39">
        <v>1875.06</v>
      </c>
      <c r="Y19" s="40">
        <f t="shared" ref="Y19:Y34" si="0">ROUNDUP(X19/$Y$17,2)</f>
        <v>365.51</v>
      </c>
    </row>
    <row r="20" spans="1:25" ht="37.5" customHeight="1" x14ac:dyDescent="0.2">
      <c r="A20" s="26" t="s">
        <v>58</v>
      </c>
      <c r="B20" s="27" t="s">
        <v>59</v>
      </c>
      <c r="C20" s="26">
        <v>7626</v>
      </c>
      <c r="D20" s="28" t="s">
        <v>60</v>
      </c>
      <c r="E20" s="29">
        <v>9857159480</v>
      </c>
      <c r="F20" s="41">
        <v>683.85</v>
      </c>
      <c r="G20" s="31" t="s">
        <v>51</v>
      </c>
      <c r="H20" s="32" t="s">
        <v>52</v>
      </c>
      <c r="I20" s="33" t="s">
        <v>52</v>
      </c>
      <c r="J20" s="32" t="s">
        <v>52</v>
      </c>
      <c r="K20" s="34" t="s">
        <v>52</v>
      </c>
      <c r="L20" s="35" t="str">
        <f>IF(Tabela8[[#This Row],[N° SC]]&gt;1,"SIM","NÃO")</f>
        <v>SIM</v>
      </c>
      <c r="M20" s="36" t="s">
        <v>53</v>
      </c>
      <c r="N20" s="36" t="s">
        <v>53</v>
      </c>
      <c r="O20" s="36" t="s">
        <v>53</v>
      </c>
      <c r="P20" s="37" t="s">
        <v>54</v>
      </c>
      <c r="Q20" s="38" t="s">
        <v>55</v>
      </c>
      <c r="R20" s="38" t="s">
        <v>54</v>
      </c>
      <c r="S20" s="36" t="s">
        <v>56</v>
      </c>
      <c r="T20" s="36" t="s">
        <v>57</v>
      </c>
      <c r="U20" s="36" t="s">
        <v>52</v>
      </c>
      <c r="V20" s="36">
        <v>2.12</v>
      </c>
      <c r="W20" s="36">
        <v>2.3199999999999998</v>
      </c>
      <c r="X20" s="39">
        <v>683.85</v>
      </c>
      <c r="Y20" s="40">
        <f t="shared" si="0"/>
        <v>133.31</v>
      </c>
    </row>
    <row r="21" spans="1:25" ht="37.5" customHeight="1" x14ac:dyDescent="0.2">
      <c r="A21" s="26" t="s">
        <v>61</v>
      </c>
      <c r="B21" s="27" t="s">
        <v>62</v>
      </c>
      <c r="C21" s="26">
        <v>8569</v>
      </c>
      <c r="D21" s="42" t="s">
        <v>63</v>
      </c>
      <c r="E21" s="29" t="s">
        <v>64</v>
      </c>
      <c r="F21" s="30">
        <v>1391.58</v>
      </c>
      <c r="G21" s="31" t="s">
        <v>65</v>
      </c>
      <c r="H21" s="32" t="s">
        <v>52</v>
      </c>
      <c r="I21" s="33" t="s">
        <v>52</v>
      </c>
      <c r="J21" s="32" t="s">
        <v>52</v>
      </c>
      <c r="K21" s="34" t="s">
        <v>52</v>
      </c>
      <c r="L21" s="35" t="str">
        <f>IF(Tabela8[[#This Row],[N° SC]]&gt;1,"SIM","NÃO")</f>
        <v>SIM</v>
      </c>
      <c r="M21" s="36" t="s">
        <v>53</v>
      </c>
      <c r="N21" s="37" t="s">
        <v>53</v>
      </c>
      <c r="O21" s="37" t="s">
        <v>53</v>
      </c>
      <c r="P21" s="37" t="s">
        <v>54</v>
      </c>
      <c r="Q21" s="38" t="s">
        <v>66</v>
      </c>
      <c r="R21" s="38" t="s">
        <v>53</v>
      </c>
      <c r="S21" s="38" t="s">
        <v>67</v>
      </c>
      <c r="T21" s="38" t="s">
        <v>57</v>
      </c>
      <c r="U21" s="36" t="s">
        <v>52</v>
      </c>
      <c r="V21" s="38">
        <v>4.97</v>
      </c>
      <c r="W21" s="38">
        <v>5.47</v>
      </c>
      <c r="X21" s="39">
        <f t="shared" ref="X21:X31" si="1">IFERROR(SMALL(F21:J21,1),"-")</f>
        <v>1391.58</v>
      </c>
      <c r="Y21" s="40">
        <f t="shared" si="0"/>
        <v>271.27</v>
      </c>
    </row>
    <row r="22" spans="1:25" ht="37.5" customHeight="1" x14ac:dyDescent="0.2">
      <c r="A22" s="26" t="s">
        <v>68</v>
      </c>
      <c r="B22" s="27" t="s">
        <v>69</v>
      </c>
      <c r="C22" s="26">
        <v>8570</v>
      </c>
      <c r="D22" s="42" t="s">
        <v>70</v>
      </c>
      <c r="E22" s="29" t="s">
        <v>71</v>
      </c>
      <c r="F22" s="30">
        <v>814</v>
      </c>
      <c r="G22" s="31" t="s">
        <v>65</v>
      </c>
      <c r="H22" s="32" t="s">
        <v>52</v>
      </c>
      <c r="I22" s="33" t="s">
        <v>52</v>
      </c>
      <c r="J22" s="32" t="s">
        <v>52</v>
      </c>
      <c r="K22" s="34" t="s">
        <v>52</v>
      </c>
      <c r="L22" s="35" t="str">
        <f>IF(Tabela8[[#This Row],[N° SC]]&gt;1,"SIM","NÃO")</f>
        <v>SIM</v>
      </c>
      <c r="M22" s="36" t="s">
        <v>53</v>
      </c>
      <c r="N22" s="37" t="s">
        <v>53</v>
      </c>
      <c r="O22" s="37" t="s">
        <v>54</v>
      </c>
      <c r="P22" s="37" t="s">
        <v>54</v>
      </c>
      <c r="Q22" s="38" t="s">
        <v>52</v>
      </c>
      <c r="R22" s="38"/>
      <c r="S22" s="38"/>
      <c r="T22" s="38"/>
      <c r="U22" s="36" t="s">
        <v>52</v>
      </c>
      <c r="V22" s="36">
        <v>3.1</v>
      </c>
      <c r="W22" s="36">
        <v>3.4</v>
      </c>
      <c r="X22" s="39">
        <f t="shared" si="1"/>
        <v>814</v>
      </c>
      <c r="Y22" s="40">
        <f t="shared" si="0"/>
        <v>158.67999999999998</v>
      </c>
    </row>
    <row r="23" spans="1:25" ht="37.5" customHeight="1" x14ac:dyDescent="0.2">
      <c r="A23" s="26" t="s">
        <v>72</v>
      </c>
      <c r="B23" s="27" t="s">
        <v>73</v>
      </c>
      <c r="C23" s="26">
        <v>8571</v>
      </c>
      <c r="D23" s="42" t="s">
        <v>74</v>
      </c>
      <c r="E23" s="29" t="s">
        <v>75</v>
      </c>
      <c r="F23" s="30">
        <v>1310.22</v>
      </c>
      <c r="G23" s="31" t="s">
        <v>76</v>
      </c>
      <c r="H23" s="30" t="s">
        <v>52</v>
      </c>
      <c r="I23" s="43" t="s">
        <v>52</v>
      </c>
      <c r="J23" s="44" t="s">
        <v>52</v>
      </c>
      <c r="K23" s="43" t="s">
        <v>52</v>
      </c>
      <c r="L23" s="45" t="str">
        <f>IF(Tabela8[[#This Row],[N° SC]]&gt;1,"SIM","NÃO")</f>
        <v>SIM</v>
      </c>
      <c r="M23" s="36" t="s">
        <v>53</v>
      </c>
      <c r="N23" s="37" t="s">
        <v>53</v>
      </c>
      <c r="O23" s="37" t="s">
        <v>53</v>
      </c>
      <c r="P23" s="37" t="s">
        <v>54</v>
      </c>
      <c r="Q23" s="38" t="s">
        <v>66</v>
      </c>
      <c r="R23" s="38" t="s">
        <v>53</v>
      </c>
      <c r="S23" s="38" t="s">
        <v>67</v>
      </c>
      <c r="T23" s="38" t="s">
        <v>57</v>
      </c>
      <c r="U23" s="36" t="s">
        <v>52</v>
      </c>
      <c r="V23" s="38">
        <v>5.5</v>
      </c>
      <c r="W23" s="38">
        <v>6</v>
      </c>
      <c r="X23" s="39">
        <f t="shared" si="1"/>
        <v>1310.22</v>
      </c>
      <c r="Y23" s="40">
        <f t="shared" si="0"/>
        <v>255.41</v>
      </c>
    </row>
    <row r="24" spans="1:25" ht="37.5" customHeight="1" x14ac:dyDescent="0.2">
      <c r="A24" s="26" t="s">
        <v>77</v>
      </c>
      <c r="B24" s="27" t="s">
        <v>78</v>
      </c>
      <c r="C24" s="26">
        <v>8572</v>
      </c>
      <c r="D24" s="42" t="s">
        <v>79</v>
      </c>
      <c r="E24" s="29" t="s">
        <v>80</v>
      </c>
      <c r="F24" s="30">
        <v>2446.4899999999998</v>
      </c>
      <c r="G24" s="31" t="s">
        <v>76</v>
      </c>
      <c r="H24" s="30" t="s">
        <v>52</v>
      </c>
      <c r="I24" s="43" t="s">
        <v>52</v>
      </c>
      <c r="J24" s="44" t="s">
        <v>52</v>
      </c>
      <c r="K24" s="43" t="s">
        <v>52</v>
      </c>
      <c r="L24" s="45" t="str">
        <f>IF(Tabela8[[#This Row],[N° SC]]&gt;1,"SIM","NÃO")</f>
        <v>SIM</v>
      </c>
      <c r="M24" s="36" t="s">
        <v>53</v>
      </c>
      <c r="N24" s="37" t="s">
        <v>53</v>
      </c>
      <c r="O24" s="37" t="s">
        <v>53</v>
      </c>
      <c r="P24" s="37" t="s">
        <v>54</v>
      </c>
      <c r="Q24" s="38" t="s">
        <v>66</v>
      </c>
      <c r="R24" s="38" t="s">
        <v>53</v>
      </c>
      <c r="S24" s="38" t="s">
        <v>67</v>
      </c>
      <c r="T24" s="38" t="s">
        <v>57</v>
      </c>
      <c r="U24" s="36" t="s">
        <v>52</v>
      </c>
      <c r="V24" s="38">
        <v>2.12</v>
      </c>
      <c r="W24" s="38">
        <v>2.2200000000000002</v>
      </c>
      <c r="X24" s="39">
        <f t="shared" si="1"/>
        <v>2446.4899999999998</v>
      </c>
      <c r="Y24" s="40">
        <f t="shared" si="0"/>
        <v>476.9</v>
      </c>
    </row>
    <row r="25" spans="1:25" ht="37.5" customHeight="1" x14ac:dyDescent="0.2">
      <c r="A25" s="26" t="s">
        <v>81</v>
      </c>
      <c r="B25" s="27" t="s">
        <v>82</v>
      </c>
      <c r="C25" s="26">
        <v>8573</v>
      </c>
      <c r="D25" s="42" t="s">
        <v>83</v>
      </c>
      <c r="E25" s="29" t="s">
        <v>84</v>
      </c>
      <c r="F25" s="30">
        <v>1601</v>
      </c>
      <c r="G25" s="31" t="s">
        <v>76</v>
      </c>
      <c r="H25" s="30" t="s">
        <v>52</v>
      </c>
      <c r="I25" s="43" t="s">
        <v>52</v>
      </c>
      <c r="J25" s="44" t="s">
        <v>52</v>
      </c>
      <c r="K25" s="43" t="s">
        <v>52</v>
      </c>
      <c r="L25" s="45" t="str">
        <f>IF(Tabela8[[#This Row],[N° SC]]&gt;1,"SIM","NÃO")</f>
        <v>SIM</v>
      </c>
      <c r="M25" s="36" t="s">
        <v>53</v>
      </c>
      <c r="N25" s="37" t="s">
        <v>53</v>
      </c>
      <c r="O25" s="37" t="s">
        <v>53</v>
      </c>
      <c r="P25" s="37" t="s">
        <v>54</v>
      </c>
      <c r="Q25" s="38" t="s">
        <v>66</v>
      </c>
      <c r="R25" s="38" t="s">
        <v>53</v>
      </c>
      <c r="S25" s="38" t="s">
        <v>67</v>
      </c>
      <c r="T25" s="38" t="s">
        <v>57</v>
      </c>
      <c r="U25" s="36" t="s">
        <v>52</v>
      </c>
      <c r="V25" s="38">
        <v>4.17</v>
      </c>
      <c r="W25" s="38">
        <v>4.67</v>
      </c>
      <c r="X25" s="39">
        <f t="shared" si="1"/>
        <v>1601</v>
      </c>
      <c r="Y25" s="40">
        <f t="shared" si="0"/>
        <v>312.08999999999997</v>
      </c>
    </row>
    <row r="26" spans="1:25" ht="37.5" customHeight="1" x14ac:dyDescent="0.2">
      <c r="A26" s="26" t="s">
        <v>85</v>
      </c>
      <c r="B26" s="27" t="s">
        <v>86</v>
      </c>
      <c r="C26" s="26">
        <v>8573</v>
      </c>
      <c r="D26" s="42" t="s">
        <v>87</v>
      </c>
      <c r="E26" s="29" t="s">
        <v>88</v>
      </c>
      <c r="F26" s="30">
        <v>969</v>
      </c>
      <c r="G26" s="31" t="s">
        <v>76</v>
      </c>
      <c r="H26" s="30" t="s">
        <v>52</v>
      </c>
      <c r="I26" s="43" t="s">
        <v>52</v>
      </c>
      <c r="J26" s="44" t="s">
        <v>52</v>
      </c>
      <c r="K26" s="43" t="s">
        <v>52</v>
      </c>
      <c r="L26" s="45" t="str">
        <f>IF(Tabela8[[#This Row],[N° SC]]&gt;1,"SIM","NÃO")</f>
        <v>SIM</v>
      </c>
      <c r="M26" s="36" t="s">
        <v>53</v>
      </c>
      <c r="N26" s="37" t="s">
        <v>53</v>
      </c>
      <c r="O26" s="37" t="s">
        <v>53</v>
      </c>
      <c r="P26" s="37" t="s">
        <v>54</v>
      </c>
      <c r="Q26" s="38" t="s">
        <v>89</v>
      </c>
      <c r="R26" s="38" t="s">
        <v>53</v>
      </c>
      <c r="S26" s="38" t="s">
        <v>67</v>
      </c>
      <c r="T26" s="38" t="s">
        <v>57</v>
      </c>
      <c r="U26" s="36" t="s">
        <v>52</v>
      </c>
      <c r="V26" s="38">
        <v>1.72</v>
      </c>
      <c r="W26" s="38">
        <v>2.2199999999999998</v>
      </c>
      <c r="X26" s="39">
        <f t="shared" si="1"/>
        <v>969</v>
      </c>
      <c r="Y26" s="40">
        <f t="shared" si="0"/>
        <v>188.89</v>
      </c>
    </row>
    <row r="27" spans="1:25" ht="37.5" customHeight="1" x14ac:dyDescent="0.2">
      <c r="A27" s="28" t="s">
        <v>90</v>
      </c>
      <c r="B27" s="46" t="s">
        <v>91</v>
      </c>
      <c r="C27" s="26">
        <v>8737</v>
      </c>
      <c r="D27" s="42" t="s">
        <v>92</v>
      </c>
      <c r="E27" s="29">
        <v>45384</v>
      </c>
      <c r="F27" s="41">
        <v>664.08</v>
      </c>
      <c r="G27" s="47" t="s">
        <v>93</v>
      </c>
      <c r="H27" s="41">
        <v>683.11</v>
      </c>
      <c r="I27" s="48" t="s">
        <v>94</v>
      </c>
      <c r="J27" s="41">
        <v>761.23</v>
      </c>
      <c r="K27" s="49" t="s">
        <v>95</v>
      </c>
      <c r="L27" s="50" t="str">
        <f>IF(Tabela8[[#This Row],[N° SC]]&gt;1,"SIM","NÃO")</f>
        <v>SIM</v>
      </c>
      <c r="M27" s="37" t="s">
        <v>53</v>
      </c>
      <c r="N27" s="37" t="s">
        <v>53</v>
      </c>
      <c r="O27" s="37" t="s">
        <v>54</v>
      </c>
      <c r="P27" s="37" t="s">
        <v>54</v>
      </c>
      <c r="Q27" s="38" t="s">
        <v>52</v>
      </c>
      <c r="R27" s="38"/>
      <c r="S27" s="38"/>
      <c r="T27" s="38" t="s">
        <v>96</v>
      </c>
      <c r="U27" s="36" t="s">
        <v>52</v>
      </c>
      <c r="V27" s="36"/>
      <c r="W27" s="36"/>
      <c r="X27" s="39">
        <f t="shared" si="1"/>
        <v>664.08</v>
      </c>
      <c r="Y27" s="40">
        <f t="shared" si="0"/>
        <v>129.45999999999998</v>
      </c>
    </row>
    <row r="28" spans="1:25" ht="37.5" customHeight="1" x14ac:dyDescent="0.2">
      <c r="A28" s="28" t="s">
        <v>97</v>
      </c>
      <c r="B28" s="46" t="s">
        <v>98</v>
      </c>
      <c r="C28" s="26">
        <v>8737</v>
      </c>
      <c r="D28" s="42" t="s">
        <v>99</v>
      </c>
      <c r="E28" s="29" t="s">
        <v>100</v>
      </c>
      <c r="F28" s="41">
        <v>394</v>
      </c>
      <c r="G28" s="31" t="s">
        <v>101</v>
      </c>
      <c r="H28" s="41">
        <v>494.38</v>
      </c>
      <c r="I28" s="31" t="s">
        <v>102</v>
      </c>
      <c r="J28" s="44">
        <v>525</v>
      </c>
      <c r="K28" s="31" t="s">
        <v>103</v>
      </c>
      <c r="L28" s="51" t="str">
        <f>IF(Tabela8[[#This Row],[N° SC]]&gt;1,"SIM","NÃO")</f>
        <v>SIM</v>
      </c>
      <c r="M28" s="37" t="s">
        <v>53</v>
      </c>
      <c r="N28" s="37" t="s">
        <v>53</v>
      </c>
      <c r="O28" s="37" t="s">
        <v>54</v>
      </c>
      <c r="P28" s="37" t="s">
        <v>54</v>
      </c>
      <c r="Q28" s="38" t="s">
        <v>52</v>
      </c>
      <c r="R28" s="38"/>
      <c r="S28" s="38"/>
      <c r="T28" s="38" t="s">
        <v>96</v>
      </c>
      <c r="U28" s="36" t="s">
        <v>52</v>
      </c>
      <c r="V28" s="36"/>
      <c r="W28" s="36"/>
      <c r="X28" s="39">
        <f t="shared" si="1"/>
        <v>394</v>
      </c>
      <c r="Y28" s="40">
        <f t="shared" si="0"/>
        <v>76.81</v>
      </c>
    </row>
    <row r="29" spans="1:25" ht="37.5" customHeight="1" x14ac:dyDescent="0.2">
      <c r="A29" s="28" t="s">
        <v>104</v>
      </c>
      <c r="B29" s="46" t="s">
        <v>105</v>
      </c>
      <c r="C29" s="26" t="s">
        <v>106</v>
      </c>
      <c r="D29" s="42" t="s">
        <v>107</v>
      </c>
      <c r="E29" s="29">
        <v>45802</v>
      </c>
      <c r="F29" s="41">
        <v>454.7</v>
      </c>
      <c r="G29" s="48" t="s">
        <v>108</v>
      </c>
      <c r="H29" s="41">
        <v>470</v>
      </c>
      <c r="I29" s="48" t="s">
        <v>109</v>
      </c>
      <c r="J29" s="41">
        <v>499.99</v>
      </c>
      <c r="K29" s="48" t="s">
        <v>110</v>
      </c>
      <c r="L29" s="52" t="str">
        <f>IF(Tabela8[[#This Row],[N° SC]]&gt;1,"SIM","NÃO")</f>
        <v>SIM</v>
      </c>
      <c r="M29" s="37" t="s">
        <v>53</v>
      </c>
      <c r="N29" s="37" t="s">
        <v>53</v>
      </c>
      <c r="O29" s="37" t="s">
        <v>54</v>
      </c>
      <c r="P29" s="37" t="s">
        <v>54</v>
      </c>
      <c r="Q29" s="38" t="s">
        <v>52</v>
      </c>
      <c r="R29" s="38" t="s">
        <v>54</v>
      </c>
      <c r="S29" s="38"/>
      <c r="T29" s="38"/>
      <c r="U29" s="36" t="s">
        <v>52</v>
      </c>
      <c r="V29" s="36"/>
      <c r="W29" s="36"/>
      <c r="X29" s="39">
        <f t="shared" si="1"/>
        <v>454.7</v>
      </c>
      <c r="Y29" s="40">
        <f t="shared" si="0"/>
        <v>88.64</v>
      </c>
    </row>
    <row r="30" spans="1:25" ht="37.5" customHeight="1" x14ac:dyDescent="0.2">
      <c r="A30" s="28" t="s">
        <v>111</v>
      </c>
      <c r="B30" s="46" t="s">
        <v>112</v>
      </c>
      <c r="C30" s="26" t="s">
        <v>106</v>
      </c>
      <c r="D30" s="42" t="s">
        <v>113</v>
      </c>
      <c r="E30" s="29" t="s">
        <v>114</v>
      </c>
      <c r="F30" s="41">
        <v>324.32</v>
      </c>
      <c r="G30" s="31" t="s">
        <v>115</v>
      </c>
      <c r="H30" s="41">
        <v>351.8</v>
      </c>
      <c r="I30" s="31" t="s">
        <v>116</v>
      </c>
      <c r="J30" s="44">
        <v>415.99</v>
      </c>
      <c r="K30" s="31" t="s">
        <v>117</v>
      </c>
      <c r="L30" s="51" t="str">
        <f>IF(Tabela8[[#This Row],[N° SC]]&gt;1,"SIM","NÃO")</f>
        <v>SIM</v>
      </c>
      <c r="M30" s="37" t="s">
        <v>53</v>
      </c>
      <c r="N30" s="37" t="s">
        <v>53</v>
      </c>
      <c r="O30" s="37" t="s">
        <v>54</v>
      </c>
      <c r="P30" s="37" t="s">
        <v>54</v>
      </c>
      <c r="Q30" s="38" t="s">
        <v>52</v>
      </c>
      <c r="R30" s="38" t="s">
        <v>54</v>
      </c>
      <c r="S30" s="38"/>
      <c r="T30" s="38"/>
      <c r="U30" s="36" t="s">
        <v>52</v>
      </c>
      <c r="V30" s="36"/>
      <c r="W30" s="36"/>
      <c r="X30" s="39">
        <f t="shared" si="1"/>
        <v>324.32</v>
      </c>
      <c r="Y30" s="40">
        <f t="shared" si="0"/>
        <v>63.23</v>
      </c>
    </row>
    <row r="31" spans="1:25" ht="37.5" customHeight="1" x14ac:dyDescent="0.2">
      <c r="A31" s="26" t="s">
        <v>118</v>
      </c>
      <c r="B31" s="27" t="s">
        <v>119</v>
      </c>
      <c r="C31" s="26">
        <v>8581</v>
      </c>
      <c r="D31" s="42" t="s">
        <v>120</v>
      </c>
      <c r="E31" s="29" t="s">
        <v>121</v>
      </c>
      <c r="F31" s="30">
        <v>1512.31</v>
      </c>
      <c r="G31" s="48" t="s">
        <v>122</v>
      </c>
      <c r="H31" s="32" t="s">
        <v>52</v>
      </c>
      <c r="I31" s="33" t="s">
        <v>52</v>
      </c>
      <c r="J31" s="32" t="s">
        <v>52</v>
      </c>
      <c r="K31" s="34" t="s">
        <v>52</v>
      </c>
      <c r="L31" s="35" t="str">
        <f>IF(Tabela8[[#This Row],[N° SC]]&gt;1,"SIM","NÃO")</f>
        <v>SIM</v>
      </c>
      <c r="M31" s="36" t="s">
        <v>53</v>
      </c>
      <c r="N31" s="37" t="s">
        <v>53</v>
      </c>
      <c r="O31" s="37" t="s">
        <v>53</v>
      </c>
      <c r="P31" s="37" t="s">
        <v>54</v>
      </c>
      <c r="Q31" s="38" t="s">
        <v>123</v>
      </c>
      <c r="R31" s="38" t="s">
        <v>53</v>
      </c>
      <c r="S31" s="38" t="s">
        <v>124</v>
      </c>
      <c r="T31" s="38" t="s">
        <v>125</v>
      </c>
      <c r="U31" s="36" t="s">
        <v>52</v>
      </c>
      <c r="V31" s="38">
        <v>4.32</v>
      </c>
      <c r="W31" s="38">
        <v>4.82</v>
      </c>
      <c r="X31" s="39">
        <f t="shared" si="1"/>
        <v>1512.31</v>
      </c>
      <c r="Y31" s="40">
        <f t="shared" si="0"/>
        <v>294.8</v>
      </c>
    </row>
    <row r="32" spans="1:25" ht="37.5" customHeight="1" x14ac:dyDescent="0.2">
      <c r="A32" s="28" t="s">
        <v>126</v>
      </c>
      <c r="B32" s="46" t="s">
        <v>127</v>
      </c>
      <c r="C32" s="26"/>
      <c r="D32" s="42" t="s">
        <v>128</v>
      </c>
      <c r="E32" s="53" t="s">
        <v>129</v>
      </c>
      <c r="F32" s="32">
        <v>1049.3699999999999</v>
      </c>
      <c r="G32" s="48" t="s">
        <v>122</v>
      </c>
      <c r="H32" s="43"/>
      <c r="I32" s="44"/>
      <c r="J32" s="43"/>
      <c r="K32" s="43"/>
      <c r="L32" s="45" t="str">
        <f>IF(Tabela8[[#This Row],[N° SC]]&gt;1,"SIM","NÃO")</f>
        <v>NÃO</v>
      </c>
      <c r="M32" s="37" t="s">
        <v>54</v>
      </c>
      <c r="N32" s="37" t="s">
        <v>54</v>
      </c>
      <c r="O32" s="37" t="s">
        <v>54</v>
      </c>
      <c r="P32" s="37" t="s">
        <v>54</v>
      </c>
      <c r="Q32" s="38"/>
      <c r="R32" s="38"/>
      <c r="S32" s="38"/>
      <c r="T32" s="38"/>
      <c r="U32" s="36"/>
      <c r="V32" s="36"/>
      <c r="W32" s="36"/>
      <c r="X32" s="39">
        <f>IFERROR(SMALL(F32:J32,1),"-")</f>
        <v>1049.3699999999999</v>
      </c>
      <c r="Y32" s="40">
        <f>ROUNDUP(X32/$Y$17,2)</f>
        <v>204.56</v>
      </c>
    </row>
    <row r="33" spans="1:25" ht="37.5" customHeight="1" x14ac:dyDescent="0.2">
      <c r="A33" s="26" t="s">
        <v>130</v>
      </c>
      <c r="B33" s="27" t="s">
        <v>131</v>
      </c>
      <c r="C33" s="26">
        <v>7800</v>
      </c>
      <c r="D33" s="42" t="s">
        <v>132</v>
      </c>
      <c r="E33" s="29" t="s">
        <v>133</v>
      </c>
      <c r="F33" s="30">
        <v>1039.5</v>
      </c>
      <c r="G33" s="48" t="s">
        <v>122</v>
      </c>
      <c r="H33" s="32" t="s">
        <v>52</v>
      </c>
      <c r="I33" s="33" t="s">
        <v>52</v>
      </c>
      <c r="J33" s="32" t="s">
        <v>52</v>
      </c>
      <c r="K33" s="34" t="s">
        <v>52</v>
      </c>
      <c r="L33" s="35" t="str">
        <f>IF(Tabela8[[#This Row],[N° SC]]&gt;1,"SIM","NÃO")</f>
        <v>SIM</v>
      </c>
      <c r="M33" s="36" t="s">
        <v>53</v>
      </c>
      <c r="N33" s="54" t="s">
        <v>53</v>
      </c>
      <c r="O33" s="37" t="s">
        <v>53</v>
      </c>
      <c r="P33" s="37" t="s">
        <v>54</v>
      </c>
      <c r="Q33" s="38" t="s">
        <v>134</v>
      </c>
      <c r="R33" s="38" t="s">
        <v>54</v>
      </c>
      <c r="S33" s="36" t="s">
        <v>56</v>
      </c>
      <c r="T33" s="36" t="s">
        <v>57</v>
      </c>
      <c r="U33" s="36" t="s">
        <v>52</v>
      </c>
      <c r="V33" s="36">
        <v>3.71</v>
      </c>
      <c r="W33" s="36">
        <v>4.22</v>
      </c>
      <c r="X33" s="39">
        <v>1039.5</v>
      </c>
      <c r="Y33" s="40">
        <f t="shared" si="0"/>
        <v>202.64</v>
      </c>
    </row>
    <row r="34" spans="1:25" ht="37.5" customHeight="1" x14ac:dyDescent="0.2">
      <c r="A34" s="26" t="s">
        <v>135</v>
      </c>
      <c r="B34" s="27" t="s">
        <v>136</v>
      </c>
      <c r="C34" s="26">
        <v>7800</v>
      </c>
      <c r="D34" s="42" t="s">
        <v>137</v>
      </c>
      <c r="E34" s="29" t="s">
        <v>138</v>
      </c>
      <c r="F34" s="30">
        <v>948.51</v>
      </c>
      <c r="G34" s="48" t="s">
        <v>122</v>
      </c>
      <c r="H34" s="32" t="s">
        <v>52</v>
      </c>
      <c r="I34" s="33" t="s">
        <v>52</v>
      </c>
      <c r="J34" s="32" t="s">
        <v>52</v>
      </c>
      <c r="K34" s="34" t="s">
        <v>52</v>
      </c>
      <c r="L34" s="35" t="str">
        <f>IF(Tabela8[[#This Row],[N° SC]]&gt;1,"SIM","NÃO")</f>
        <v>SIM</v>
      </c>
      <c r="M34" s="36" t="s">
        <v>53</v>
      </c>
      <c r="N34" s="36" t="s">
        <v>53</v>
      </c>
      <c r="O34" s="37" t="s">
        <v>53</v>
      </c>
      <c r="P34" s="37" t="s">
        <v>54</v>
      </c>
      <c r="Q34" s="38" t="s">
        <v>134</v>
      </c>
      <c r="R34" s="38" t="s">
        <v>54</v>
      </c>
      <c r="S34" s="36" t="s">
        <v>56</v>
      </c>
      <c r="T34" s="36" t="s">
        <v>57</v>
      </c>
      <c r="U34" s="36" t="s">
        <v>52</v>
      </c>
      <c r="V34" s="36">
        <v>2.1</v>
      </c>
      <c r="W34" s="36">
        <v>2.6</v>
      </c>
      <c r="X34" s="39">
        <v>948.51</v>
      </c>
      <c r="Y34" s="40">
        <f t="shared" si="0"/>
        <v>184.89999999999998</v>
      </c>
    </row>
    <row r="35" spans="1:25" ht="37.5" customHeight="1" x14ac:dyDescent="0.2">
      <c r="A35" s="26" t="s">
        <v>139</v>
      </c>
      <c r="B35" s="27" t="s">
        <v>140</v>
      </c>
      <c r="C35" s="26">
        <v>7798</v>
      </c>
      <c r="D35" s="42" t="s">
        <v>141</v>
      </c>
      <c r="E35" s="29" t="s">
        <v>142</v>
      </c>
      <c r="F35" s="30">
        <v>1073.48</v>
      </c>
      <c r="G35" s="48" t="s">
        <v>122</v>
      </c>
      <c r="H35" s="32">
        <v>1199</v>
      </c>
      <c r="I35" s="48" t="s">
        <v>143</v>
      </c>
      <c r="J35" s="32">
        <v>1199</v>
      </c>
      <c r="K35" s="49" t="s">
        <v>143</v>
      </c>
      <c r="L35" s="50" t="str">
        <f>IF(Tabela8[[#This Row],[N° SC]]&gt;1,"SIM","NÃO")</f>
        <v>SIM</v>
      </c>
      <c r="M35" s="37" t="s">
        <v>53</v>
      </c>
      <c r="N35" s="37" t="s">
        <v>53</v>
      </c>
      <c r="O35" s="37" t="s">
        <v>53</v>
      </c>
      <c r="P35" s="37" t="s">
        <v>54</v>
      </c>
      <c r="Q35" s="36" t="s">
        <v>144</v>
      </c>
      <c r="R35" s="38" t="s">
        <v>54</v>
      </c>
      <c r="S35" s="36" t="s">
        <v>145</v>
      </c>
      <c r="T35" s="36" t="s">
        <v>57</v>
      </c>
      <c r="U35" s="38" t="s">
        <v>146</v>
      </c>
      <c r="V35" s="38">
        <v>4.78</v>
      </c>
      <c r="W35" s="38">
        <v>5.17</v>
      </c>
      <c r="X35" s="39">
        <v>1073.48</v>
      </c>
      <c r="Y35" s="40">
        <v>206.43846153846152</v>
      </c>
    </row>
    <row r="36" spans="1:25" ht="37.5" customHeight="1" x14ac:dyDescent="0.2">
      <c r="A36" s="26" t="s">
        <v>147</v>
      </c>
      <c r="B36" s="27" t="s">
        <v>148</v>
      </c>
      <c r="C36" s="26">
        <v>7798</v>
      </c>
      <c r="D36" s="42" t="s">
        <v>149</v>
      </c>
      <c r="E36" s="29" t="s">
        <v>150</v>
      </c>
      <c r="F36" s="30">
        <v>301.83999999999997</v>
      </c>
      <c r="G36" s="48" t="s">
        <v>151</v>
      </c>
      <c r="H36" s="32">
        <v>305.02</v>
      </c>
      <c r="I36" s="48" t="s">
        <v>152</v>
      </c>
      <c r="J36" s="32">
        <v>317.73</v>
      </c>
      <c r="K36" s="49" t="s">
        <v>153</v>
      </c>
      <c r="L36" s="50" t="str">
        <f>IF(Tabela8[[#This Row],[N° SC]]&gt;1,"SIM","NÃO")</f>
        <v>SIM</v>
      </c>
      <c r="M36" s="37" t="s">
        <v>53</v>
      </c>
      <c r="N36" s="37" t="s">
        <v>53</v>
      </c>
      <c r="O36" s="37" t="s">
        <v>53</v>
      </c>
      <c r="P36" s="37" t="s">
        <v>54</v>
      </c>
      <c r="Q36" s="36" t="s">
        <v>144</v>
      </c>
      <c r="R36" s="38" t="s">
        <v>54</v>
      </c>
      <c r="S36" s="36" t="s">
        <v>145</v>
      </c>
      <c r="T36" s="36" t="s">
        <v>57</v>
      </c>
      <c r="U36" s="38" t="s">
        <v>146</v>
      </c>
      <c r="V36" s="38">
        <v>1.87</v>
      </c>
      <c r="W36" s="38">
        <v>1.99</v>
      </c>
      <c r="X36" s="39">
        <v>301.83999999999997</v>
      </c>
      <c r="Y36" s="40">
        <v>58.046153846153842</v>
      </c>
    </row>
    <row r="37" spans="1:25" ht="37.5" customHeight="1" x14ac:dyDescent="0.2">
      <c r="A37" s="55" t="s">
        <v>154</v>
      </c>
      <c r="B37" s="56" t="s">
        <v>155</v>
      </c>
      <c r="C37" s="26" t="s">
        <v>52</v>
      </c>
      <c r="D37" s="57" t="s">
        <v>156</v>
      </c>
      <c r="E37" s="29" t="s">
        <v>157</v>
      </c>
      <c r="F37" s="30">
        <v>138.22999999999999</v>
      </c>
      <c r="G37" s="58" t="s">
        <v>158</v>
      </c>
      <c r="H37" s="30"/>
      <c r="I37" s="59"/>
      <c r="J37" s="60"/>
      <c r="K37" s="60"/>
      <c r="L37" s="45" t="str">
        <f>IF(Tabela8[[#This Row],[N° SC]]&gt;1,"SIM","NÃO")</f>
        <v>SIM</v>
      </c>
      <c r="M37" s="37" t="s">
        <v>53</v>
      </c>
      <c r="N37" s="37" t="s">
        <v>53</v>
      </c>
      <c r="O37" s="37" t="s">
        <v>53</v>
      </c>
      <c r="P37" s="37" t="s">
        <v>54</v>
      </c>
      <c r="Q37" s="38" t="s">
        <v>123</v>
      </c>
      <c r="R37" s="38" t="s">
        <v>53</v>
      </c>
      <c r="S37" s="38" t="s">
        <v>124</v>
      </c>
      <c r="T37" s="38" t="s">
        <v>125</v>
      </c>
      <c r="U37" s="36"/>
      <c r="V37" s="38">
        <v>1.2</v>
      </c>
      <c r="W37" s="38">
        <v>1.5</v>
      </c>
      <c r="X37" s="39">
        <f>IFERROR(SMALL(F37:J37,1),"-")</f>
        <v>138.22999999999999</v>
      </c>
      <c r="Y37" s="40">
        <f>ROUNDUP(X37/$Y$17,2)</f>
        <v>26.950000000000003</v>
      </c>
    </row>
    <row r="38" spans="1:25" ht="37.5" customHeight="1" x14ac:dyDescent="0.2">
      <c r="A38" s="26" t="s">
        <v>159</v>
      </c>
      <c r="B38" s="27" t="s">
        <v>160</v>
      </c>
      <c r="C38" s="26"/>
      <c r="D38" s="42" t="s">
        <v>161</v>
      </c>
      <c r="E38" s="29" t="s">
        <v>162</v>
      </c>
      <c r="F38" s="32">
        <v>495.83</v>
      </c>
      <c r="G38" s="48" t="s">
        <v>163</v>
      </c>
      <c r="H38" s="32" t="s">
        <v>52</v>
      </c>
      <c r="I38" s="33" t="s">
        <v>52</v>
      </c>
      <c r="J38" s="32" t="s">
        <v>52</v>
      </c>
      <c r="K38" s="34" t="s">
        <v>52</v>
      </c>
      <c r="L38" s="35" t="str">
        <f>IF(Tabela8[[#This Row],[N° SC]]&gt;1,"SIM","NÃO")</f>
        <v>NÃO</v>
      </c>
      <c r="M38" s="36" t="s">
        <v>54</v>
      </c>
      <c r="N38" s="37" t="s">
        <v>54</v>
      </c>
      <c r="O38" s="37" t="s">
        <v>54</v>
      </c>
      <c r="P38" s="37" t="s">
        <v>54</v>
      </c>
      <c r="Q38" s="38" t="s">
        <v>52</v>
      </c>
      <c r="R38" s="38"/>
      <c r="S38" s="38"/>
      <c r="T38" s="38"/>
      <c r="U38" s="36" t="s">
        <v>52</v>
      </c>
      <c r="V38" s="36"/>
      <c r="W38" s="36"/>
      <c r="X38" s="39">
        <f>IFERROR(SMALL(F38:J38,1),"-")</f>
        <v>495.83</v>
      </c>
      <c r="Y38" s="40">
        <f>ROUNDUP(X38/$Y$17,2)</f>
        <v>96.660000000000011</v>
      </c>
    </row>
    <row r="39" spans="1:25" ht="37.5" customHeight="1" x14ac:dyDescent="0.2">
      <c r="A39" s="26" t="s">
        <v>164</v>
      </c>
      <c r="B39" s="27" t="s">
        <v>165</v>
      </c>
      <c r="C39" s="26">
        <v>7799</v>
      </c>
      <c r="D39" s="42" t="s">
        <v>166</v>
      </c>
      <c r="E39" s="29">
        <v>9859404180</v>
      </c>
      <c r="F39" s="41">
        <v>1003.34</v>
      </c>
      <c r="G39" s="31" t="s">
        <v>51</v>
      </c>
      <c r="H39" s="44">
        <v>485</v>
      </c>
      <c r="I39" s="31" t="s">
        <v>167</v>
      </c>
      <c r="J39" s="44" t="s">
        <v>52</v>
      </c>
      <c r="K39" s="31" t="s">
        <v>52</v>
      </c>
      <c r="L39" s="51" t="str">
        <f>IF(Tabela8[[#This Row],[N° SC]]&gt;1,"SIM","NÃO")</f>
        <v>SIM</v>
      </c>
      <c r="M39" s="37" t="s">
        <v>53</v>
      </c>
      <c r="N39" s="37" t="s">
        <v>53</v>
      </c>
      <c r="O39" s="37" t="s">
        <v>53</v>
      </c>
      <c r="P39" s="37" t="s">
        <v>54</v>
      </c>
      <c r="Q39" s="38" t="s">
        <v>168</v>
      </c>
      <c r="R39" s="38" t="s">
        <v>54</v>
      </c>
      <c r="S39" s="38" t="s">
        <v>169</v>
      </c>
      <c r="T39" s="38" t="s">
        <v>125</v>
      </c>
      <c r="U39" s="36" t="s">
        <v>146</v>
      </c>
      <c r="V39" s="36">
        <v>4.57</v>
      </c>
      <c r="W39" s="36">
        <v>5.0999999999999996</v>
      </c>
      <c r="X39" s="39">
        <v>1003.34</v>
      </c>
      <c r="Y39" s="40">
        <f>ROUNDUP(X39/$Y$17,2)</f>
        <v>195.59</v>
      </c>
    </row>
    <row r="40" spans="1:25" ht="37.5" customHeight="1" x14ac:dyDescent="0.2">
      <c r="A40" s="26" t="s">
        <v>170</v>
      </c>
      <c r="B40" s="27" t="s">
        <v>171</v>
      </c>
      <c r="C40" s="26">
        <v>7799</v>
      </c>
      <c r="D40" s="42" t="s">
        <v>172</v>
      </c>
      <c r="E40" s="29">
        <v>9859470480</v>
      </c>
      <c r="F40" s="41">
        <v>686.55</v>
      </c>
      <c r="G40" s="31" t="s">
        <v>51</v>
      </c>
      <c r="H40" s="30" t="s">
        <v>52</v>
      </c>
      <c r="I40" s="31" t="s">
        <v>52</v>
      </c>
      <c r="J40" s="44" t="s">
        <v>52</v>
      </c>
      <c r="K40" s="31" t="s">
        <v>52</v>
      </c>
      <c r="L40" s="51" t="str">
        <f>IF(Tabela8[[#This Row],[N° SC]]&gt;1,"SIM","NÃO")</f>
        <v>SIM</v>
      </c>
      <c r="M40" s="37" t="s">
        <v>53</v>
      </c>
      <c r="N40" s="37" t="s">
        <v>53</v>
      </c>
      <c r="O40" s="37" t="s">
        <v>53</v>
      </c>
      <c r="P40" s="37" t="s">
        <v>54</v>
      </c>
      <c r="Q40" s="38" t="s">
        <v>173</v>
      </c>
      <c r="R40" s="38" t="s">
        <v>53</v>
      </c>
      <c r="S40" s="38" t="s">
        <v>124</v>
      </c>
      <c r="T40" s="38" t="s">
        <v>125</v>
      </c>
      <c r="U40" s="36" t="s">
        <v>52</v>
      </c>
      <c r="V40" s="38">
        <v>1.9</v>
      </c>
      <c r="W40" s="38">
        <v>2.4</v>
      </c>
      <c r="X40" s="39">
        <v>686.55</v>
      </c>
      <c r="Y40" s="40">
        <f>ROUNDUP(X40/$Y$17,2)</f>
        <v>133.84</v>
      </c>
    </row>
    <row r="41" spans="1:25" ht="37.5" customHeight="1" x14ac:dyDescent="0.2">
      <c r="A41" s="26" t="s">
        <v>174</v>
      </c>
      <c r="B41" s="27" t="s">
        <v>175</v>
      </c>
      <c r="C41" s="26"/>
      <c r="D41" s="42" t="s">
        <v>176</v>
      </c>
      <c r="E41" s="29" t="s">
        <v>177</v>
      </c>
      <c r="F41" s="32">
        <v>587.44000000000005</v>
      </c>
      <c r="G41" s="61" t="s">
        <v>178</v>
      </c>
      <c r="H41" s="62">
        <v>717.26</v>
      </c>
      <c r="I41" s="48" t="s">
        <v>179</v>
      </c>
      <c r="J41" s="32">
        <v>783.32</v>
      </c>
      <c r="K41" s="49" t="s">
        <v>180</v>
      </c>
      <c r="L41" s="50" t="str">
        <f>IF(Tabela8[[#This Row],[N° SC]]&gt;1,"SIM","NÃO")</f>
        <v>NÃO</v>
      </c>
      <c r="M41" s="36" t="s">
        <v>54</v>
      </c>
      <c r="N41" s="37" t="s">
        <v>54</v>
      </c>
      <c r="O41" s="37" t="s">
        <v>54</v>
      </c>
      <c r="P41" s="37" t="s">
        <v>54</v>
      </c>
      <c r="Q41" s="38" t="s">
        <v>52</v>
      </c>
      <c r="R41" s="38"/>
      <c r="S41" s="38"/>
      <c r="T41" s="38"/>
      <c r="U41" s="36" t="s">
        <v>52</v>
      </c>
      <c r="V41" s="36"/>
      <c r="W41" s="36"/>
      <c r="X41" s="39">
        <f t="shared" ref="X41:X53" si="2">IFERROR(SMALL(F41:J41,1),"-")</f>
        <v>587.44000000000005</v>
      </c>
      <c r="Y41" s="40">
        <f>ROUNDUP(X41/$Y$17,2)</f>
        <v>114.52000000000001</v>
      </c>
    </row>
    <row r="42" spans="1:25" ht="37.5" customHeight="1" x14ac:dyDescent="0.2">
      <c r="A42" s="26" t="s">
        <v>181</v>
      </c>
      <c r="B42" s="27" t="s">
        <v>182</v>
      </c>
      <c r="C42" s="26">
        <v>7294</v>
      </c>
      <c r="D42" s="42" t="s">
        <v>183</v>
      </c>
      <c r="E42" s="29" t="s">
        <v>184</v>
      </c>
      <c r="F42" s="30">
        <v>594.20000000000005</v>
      </c>
      <c r="G42" s="31" t="s">
        <v>185</v>
      </c>
      <c r="H42" s="44" t="s">
        <v>52</v>
      </c>
      <c r="I42" s="43" t="s">
        <v>52</v>
      </c>
      <c r="J42" s="44" t="s">
        <v>52</v>
      </c>
      <c r="K42" s="43" t="s">
        <v>52</v>
      </c>
      <c r="L42" s="45" t="str">
        <f>IF(Tabela8[[#This Row],[N° SC]]&gt;1,"SIM","NÃO")</f>
        <v>SIM</v>
      </c>
      <c r="M42" s="36" t="s">
        <v>53</v>
      </c>
      <c r="N42" s="36" t="s">
        <v>53</v>
      </c>
      <c r="O42" s="36" t="s">
        <v>53</v>
      </c>
      <c r="P42" s="36" t="s">
        <v>54</v>
      </c>
      <c r="Q42" s="38" t="s">
        <v>186</v>
      </c>
      <c r="R42" s="36" t="s">
        <v>54</v>
      </c>
      <c r="S42" s="38" t="s">
        <v>187</v>
      </c>
      <c r="T42" s="36" t="s">
        <v>57</v>
      </c>
      <c r="U42" s="38" t="s">
        <v>188</v>
      </c>
      <c r="V42" s="38">
        <v>3</v>
      </c>
      <c r="W42" s="38">
        <v>3.57</v>
      </c>
      <c r="X42" s="39">
        <f t="shared" si="2"/>
        <v>594.20000000000005</v>
      </c>
      <c r="Y42" s="40">
        <v>110.25</v>
      </c>
    </row>
    <row r="43" spans="1:25" ht="37.5" customHeight="1" x14ac:dyDescent="0.2">
      <c r="A43" s="26" t="s">
        <v>189</v>
      </c>
      <c r="B43" s="27" t="s">
        <v>190</v>
      </c>
      <c r="C43" s="26">
        <v>7294</v>
      </c>
      <c r="D43" s="42" t="s">
        <v>191</v>
      </c>
      <c r="E43" s="29" t="s">
        <v>192</v>
      </c>
      <c r="F43" s="30">
        <v>421.35</v>
      </c>
      <c r="G43" s="31" t="s">
        <v>185</v>
      </c>
      <c r="H43" s="44" t="s">
        <v>52</v>
      </c>
      <c r="I43" s="43" t="s">
        <v>52</v>
      </c>
      <c r="J43" s="44" t="s">
        <v>52</v>
      </c>
      <c r="K43" s="43" t="s">
        <v>52</v>
      </c>
      <c r="L43" s="45" t="str">
        <f>IF(Tabela8[[#This Row],[N° SC]]&gt;1,"SIM","NÃO")</f>
        <v>SIM</v>
      </c>
      <c r="M43" s="36" t="s">
        <v>53</v>
      </c>
      <c r="N43" s="36" t="s">
        <v>53</v>
      </c>
      <c r="O43" s="36" t="s">
        <v>53</v>
      </c>
      <c r="P43" s="36" t="s">
        <v>54</v>
      </c>
      <c r="Q43" s="38" t="s">
        <v>186</v>
      </c>
      <c r="R43" s="36" t="s">
        <v>54</v>
      </c>
      <c r="S43" s="38" t="s">
        <v>187</v>
      </c>
      <c r="T43" s="36" t="s">
        <v>57</v>
      </c>
      <c r="U43" s="38" t="s">
        <v>188</v>
      </c>
      <c r="V43" s="38">
        <v>1.6</v>
      </c>
      <c r="W43" s="38">
        <v>1.66</v>
      </c>
      <c r="X43" s="39">
        <f t="shared" si="2"/>
        <v>421.35</v>
      </c>
      <c r="Y43" s="40">
        <v>78.180000000000007</v>
      </c>
    </row>
    <row r="44" spans="1:25" ht="37.5" customHeight="1" x14ac:dyDescent="0.2">
      <c r="A44" s="26" t="s">
        <v>193</v>
      </c>
      <c r="B44" s="27" t="s">
        <v>194</v>
      </c>
      <c r="C44" s="26">
        <v>8575</v>
      </c>
      <c r="D44" s="42" t="s">
        <v>195</v>
      </c>
      <c r="E44" s="29" t="s">
        <v>196</v>
      </c>
      <c r="F44" s="30">
        <v>545.55999999999995</v>
      </c>
      <c r="G44" s="31" t="s">
        <v>197</v>
      </c>
      <c r="H44" s="30">
        <v>585.72</v>
      </c>
      <c r="I44" s="31" t="s">
        <v>198</v>
      </c>
      <c r="J44" s="44">
        <v>597.08000000000004</v>
      </c>
      <c r="K44" s="31" t="s">
        <v>199</v>
      </c>
      <c r="L44" s="51" t="str">
        <f>IF(Tabela8[[#This Row],[N° SC]]&gt;1,"SIM","NÃO")</f>
        <v>SIM</v>
      </c>
      <c r="M44" s="36" t="s">
        <v>53</v>
      </c>
      <c r="N44" s="37" t="s">
        <v>53</v>
      </c>
      <c r="O44" s="37" t="s">
        <v>53</v>
      </c>
      <c r="P44" s="37" t="s">
        <v>54</v>
      </c>
      <c r="Q44" s="38" t="s">
        <v>173</v>
      </c>
      <c r="R44" s="38" t="s">
        <v>53</v>
      </c>
      <c r="S44" s="38" t="s">
        <v>124</v>
      </c>
      <c r="T44" s="38" t="s">
        <v>125</v>
      </c>
      <c r="U44" s="36" t="s">
        <v>52</v>
      </c>
      <c r="V44" s="38">
        <v>3.2</v>
      </c>
      <c r="W44" s="38">
        <v>3.7</v>
      </c>
      <c r="X44" s="39">
        <f t="shared" si="2"/>
        <v>545.55999999999995</v>
      </c>
      <c r="Y44" s="40">
        <f>ROUNDUP(X44/$Y$17,2)</f>
        <v>106.35000000000001</v>
      </c>
    </row>
    <row r="45" spans="1:25" ht="37.5" customHeight="1" x14ac:dyDescent="0.2">
      <c r="A45" s="26" t="s">
        <v>200</v>
      </c>
      <c r="B45" s="27" t="s">
        <v>201</v>
      </c>
      <c r="C45" s="26">
        <v>8576</v>
      </c>
      <c r="D45" s="42" t="s">
        <v>202</v>
      </c>
      <c r="E45" s="29" t="s">
        <v>203</v>
      </c>
      <c r="F45" s="30">
        <v>282.68</v>
      </c>
      <c r="G45" s="31" t="s">
        <v>204</v>
      </c>
      <c r="H45" s="30">
        <v>276.85000000000002</v>
      </c>
      <c r="I45" s="31" t="s">
        <v>205</v>
      </c>
      <c r="J45" s="44">
        <v>285.58999999999997</v>
      </c>
      <c r="K45" s="31" t="s">
        <v>206</v>
      </c>
      <c r="L45" s="51" t="str">
        <f>IF(Tabela8[[#This Row],[N° SC]]&gt;1,"SIM","NÃO")</f>
        <v>SIM</v>
      </c>
      <c r="M45" s="36" t="s">
        <v>53</v>
      </c>
      <c r="N45" s="37" t="s">
        <v>53</v>
      </c>
      <c r="O45" s="37" t="s">
        <v>53</v>
      </c>
      <c r="P45" s="37" t="s">
        <v>54</v>
      </c>
      <c r="Q45" s="38" t="s">
        <v>173</v>
      </c>
      <c r="R45" s="38" t="s">
        <v>53</v>
      </c>
      <c r="S45" s="38" t="s">
        <v>124</v>
      </c>
      <c r="T45" s="38" t="s">
        <v>125</v>
      </c>
      <c r="U45" s="36" t="s">
        <v>52</v>
      </c>
      <c r="V45" s="38">
        <v>2.3199999999999998</v>
      </c>
      <c r="W45" s="38">
        <v>2.82</v>
      </c>
      <c r="X45" s="39">
        <f t="shared" si="2"/>
        <v>276.85000000000002</v>
      </c>
      <c r="Y45" s="40">
        <f>ROUNDUP(X45/$Y$17,2)</f>
        <v>53.97</v>
      </c>
    </row>
    <row r="46" spans="1:25" ht="37.5" customHeight="1" x14ac:dyDescent="0.2">
      <c r="A46" s="26" t="s">
        <v>207</v>
      </c>
      <c r="B46" s="27" t="s">
        <v>208</v>
      </c>
      <c r="C46" s="26">
        <v>9140</v>
      </c>
      <c r="D46" s="42" t="s">
        <v>209</v>
      </c>
      <c r="E46" s="29" t="s">
        <v>210</v>
      </c>
      <c r="F46" s="30">
        <v>432.46</v>
      </c>
      <c r="G46" s="31" t="s">
        <v>211</v>
      </c>
      <c r="H46" s="30">
        <v>610.28</v>
      </c>
      <c r="I46" s="31" t="s">
        <v>212</v>
      </c>
      <c r="J46" s="44">
        <v>668.61</v>
      </c>
      <c r="K46" s="31" t="s">
        <v>213</v>
      </c>
      <c r="L46" s="51" t="str">
        <f>IF(Tabela8[[#This Row],[N° SC]]&gt;1,"SIM","NÃO")</f>
        <v>SIM</v>
      </c>
      <c r="M46" s="36" t="s">
        <v>53</v>
      </c>
      <c r="N46" s="37" t="s">
        <v>53</v>
      </c>
      <c r="O46" s="37" t="s">
        <v>53</v>
      </c>
      <c r="P46" s="37" t="s">
        <v>53</v>
      </c>
      <c r="Q46" s="38" t="s">
        <v>214</v>
      </c>
      <c r="R46" s="38"/>
      <c r="S46" s="38" t="s">
        <v>215</v>
      </c>
      <c r="T46" s="38" t="s">
        <v>125</v>
      </c>
      <c r="U46" s="36" t="s">
        <v>52</v>
      </c>
      <c r="V46" s="36">
        <v>2.96</v>
      </c>
      <c r="W46" s="36">
        <v>3.71</v>
      </c>
      <c r="X46" s="39">
        <f t="shared" si="2"/>
        <v>432.46</v>
      </c>
      <c r="Y46" s="40">
        <f>ROUNDUP(X46/$Y$17,2)</f>
        <v>84.31</v>
      </c>
    </row>
    <row r="47" spans="1:25" ht="37.5" customHeight="1" x14ac:dyDescent="0.2">
      <c r="A47" s="28" t="s">
        <v>216</v>
      </c>
      <c r="B47" s="46" t="s">
        <v>217</v>
      </c>
      <c r="C47" s="26">
        <v>8734</v>
      </c>
      <c r="D47" s="42" t="s">
        <v>218</v>
      </c>
      <c r="E47" s="63" t="s">
        <v>219</v>
      </c>
      <c r="F47" s="41">
        <v>315.01</v>
      </c>
      <c r="G47" s="31" t="s">
        <v>220</v>
      </c>
      <c r="H47" s="41">
        <v>315.01</v>
      </c>
      <c r="I47" s="31" t="s">
        <v>221</v>
      </c>
      <c r="J47" s="44">
        <v>610.20000000000005</v>
      </c>
      <c r="K47" s="31" t="s">
        <v>222</v>
      </c>
      <c r="L47" s="51" t="str">
        <f>IF(Tabela8[[#This Row],[N° SC]]&gt;1,"SIM","NÃO")</f>
        <v>SIM</v>
      </c>
      <c r="M47" s="37" t="s">
        <v>53</v>
      </c>
      <c r="N47" s="37" t="s">
        <v>53</v>
      </c>
      <c r="O47" s="37" t="s">
        <v>53</v>
      </c>
      <c r="P47" s="37" t="s">
        <v>53</v>
      </c>
      <c r="Q47" s="38" t="s">
        <v>214</v>
      </c>
      <c r="R47" s="38"/>
      <c r="S47" s="38" t="s">
        <v>215</v>
      </c>
      <c r="T47" s="38" t="s">
        <v>125</v>
      </c>
      <c r="U47" s="36" t="s">
        <v>52</v>
      </c>
      <c r="V47" s="36">
        <v>1.9</v>
      </c>
      <c r="W47" s="36">
        <v>2.2000000000000002</v>
      </c>
      <c r="X47" s="39">
        <f t="shared" si="2"/>
        <v>315.01</v>
      </c>
      <c r="Y47" s="40">
        <f>ROUNDUP(X47/$Y$17,2)</f>
        <v>61.41</v>
      </c>
    </row>
    <row r="48" spans="1:25" ht="37.5" customHeight="1" x14ac:dyDescent="0.2">
      <c r="A48" s="64" t="s">
        <v>223</v>
      </c>
      <c r="B48" s="65" t="s">
        <v>224</v>
      </c>
      <c r="C48" s="66">
        <v>8941</v>
      </c>
      <c r="D48" s="67" t="s">
        <v>225</v>
      </c>
      <c r="E48" s="68" t="s">
        <v>226</v>
      </c>
      <c r="F48" s="69">
        <v>145.5</v>
      </c>
      <c r="G48" s="70" t="s">
        <v>227</v>
      </c>
      <c r="H48" s="41">
        <v>159.47999999999999</v>
      </c>
      <c r="I48" s="71" t="s">
        <v>228</v>
      </c>
      <c r="J48" s="44">
        <v>228.32</v>
      </c>
      <c r="K48" s="31" t="s">
        <v>229</v>
      </c>
      <c r="L48" s="72" t="str">
        <f>IF(Tabela8[[#This Row],[N° SC]]&gt;1,"SIM","NÃO")</f>
        <v>SIM</v>
      </c>
      <c r="M48" s="73" t="s">
        <v>53</v>
      </c>
      <c r="N48" s="73" t="s">
        <v>53</v>
      </c>
      <c r="O48" s="73" t="s">
        <v>53</v>
      </c>
      <c r="P48" s="73" t="s">
        <v>54</v>
      </c>
      <c r="Q48" s="74" t="s">
        <v>52</v>
      </c>
      <c r="R48" s="74"/>
      <c r="S48" s="74"/>
      <c r="T48" s="74"/>
      <c r="U48" s="75" t="s">
        <v>52</v>
      </c>
      <c r="V48" s="75"/>
      <c r="W48" s="75"/>
      <c r="X48" s="76">
        <f t="shared" si="2"/>
        <v>145.5</v>
      </c>
      <c r="Y48" s="77">
        <f>ROUNDUP(X48/$Y$17,2)</f>
        <v>28.37</v>
      </c>
    </row>
    <row r="49" spans="1:25" ht="37.5" customHeight="1" x14ac:dyDescent="0.2">
      <c r="A49" s="26" t="s">
        <v>230</v>
      </c>
      <c r="B49" s="27" t="s">
        <v>231</v>
      </c>
      <c r="C49" s="26">
        <v>7293</v>
      </c>
      <c r="D49" s="42" t="s">
        <v>232</v>
      </c>
      <c r="E49" s="29">
        <v>9853938080</v>
      </c>
      <c r="F49" s="30">
        <v>907.74</v>
      </c>
      <c r="G49" s="31" t="s">
        <v>51</v>
      </c>
      <c r="H49" s="44" t="s">
        <v>52</v>
      </c>
      <c r="I49" s="43" t="s">
        <v>52</v>
      </c>
      <c r="J49" s="44" t="s">
        <v>52</v>
      </c>
      <c r="K49" s="43" t="s">
        <v>52</v>
      </c>
      <c r="L49" s="45" t="str">
        <f>IF(Tabela8[[#This Row],[N° SC]]&gt;1,"SIM","NÃO")</f>
        <v>SIM</v>
      </c>
      <c r="M49" s="36" t="s">
        <v>53</v>
      </c>
      <c r="N49" s="36" t="s">
        <v>53</v>
      </c>
      <c r="O49" s="36" t="s">
        <v>53</v>
      </c>
      <c r="P49" s="36" t="s">
        <v>54</v>
      </c>
      <c r="Q49" s="38" t="s">
        <v>186</v>
      </c>
      <c r="R49" s="36" t="s">
        <v>54</v>
      </c>
      <c r="S49" s="38" t="s">
        <v>187</v>
      </c>
      <c r="T49" s="36" t="s">
        <v>57</v>
      </c>
      <c r="U49" s="38" t="s">
        <v>188</v>
      </c>
      <c r="V49" s="38">
        <v>3.78</v>
      </c>
      <c r="W49" s="38">
        <v>4.16</v>
      </c>
      <c r="X49" s="39">
        <f t="shared" si="2"/>
        <v>907.74</v>
      </c>
      <c r="Y49" s="40">
        <v>168.42</v>
      </c>
    </row>
    <row r="50" spans="1:25" ht="37.5" customHeight="1" x14ac:dyDescent="0.2">
      <c r="A50" s="26" t="s">
        <v>233</v>
      </c>
      <c r="B50" s="27" t="s">
        <v>234</v>
      </c>
      <c r="C50" s="26">
        <v>7293</v>
      </c>
      <c r="D50" s="42" t="s">
        <v>235</v>
      </c>
      <c r="E50" s="29">
        <v>9853954780</v>
      </c>
      <c r="F50" s="30">
        <v>613.30999999999995</v>
      </c>
      <c r="G50" s="31" t="s">
        <v>51</v>
      </c>
      <c r="H50" s="44" t="s">
        <v>52</v>
      </c>
      <c r="I50" s="43" t="s">
        <v>52</v>
      </c>
      <c r="J50" s="44" t="s">
        <v>52</v>
      </c>
      <c r="K50" s="43" t="s">
        <v>52</v>
      </c>
      <c r="L50" s="45" t="str">
        <f>IF(Tabela8[[#This Row],[N° SC]]&gt;1,"SIM","NÃO")</f>
        <v>SIM</v>
      </c>
      <c r="M50" s="36" t="s">
        <v>53</v>
      </c>
      <c r="N50" s="36" t="s">
        <v>53</v>
      </c>
      <c r="O50" s="36" t="s">
        <v>53</v>
      </c>
      <c r="P50" s="36" t="s">
        <v>54</v>
      </c>
      <c r="Q50" s="38" t="s">
        <v>186</v>
      </c>
      <c r="R50" s="36" t="s">
        <v>54</v>
      </c>
      <c r="S50" s="38" t="s">
        <v>187</v>
      </c>
      <c r="T50" s="36" t="s">
        <v>57</v>
      </c>
      <c r="U50" s="38" t="s">
        <v>188</v>
      </c>
      <c r="V50" s="38">
        <v>1.65</v>
      </c>
      <c r="W50" s="38">
        <v>1.85</v>
      </c>
      <c r="X50" s="39">
        <f t="shared" si="2"/>
        <v>613.30999999999995</v>
      </c>
      <c r="Y50" s="40">
        <v>113.79</v>
      </c>
    </row>
    <row r="51" spans="1:25" ht="37.5" customHeight="1" x14ac:dyDescent="0.2">
      <c r="A51" s="26" t="s">
        <v>236</v>
      </c>
      <c r="B51" s="27" t="s">
        <v>237</v>
      </c>
      <c r="C51" s="26">
        <v>8144</v>
      </c>
      <c r="D51" s="42" t="s">
        <v>238</v>
      </c>
      <c r="E51" s="29">
        <v>9850225380</v>
      </c>
      <c r="F51" s="41">
        <v>1149.9000000000001</v>
      </c>
      <c r="G51" s="31" t="s">
        <v>51</v>
      </c>
      <c r="H51" s="30"/>
      <c r="I51" s="31"/>
      <c r="J51" s="44"/>
      <c r="K51" s="31"/>
      <c r="L51" s="51" t="str">
        <f>IF(Tabela8[[#This Row],[N° SC]]&gt;1,"SIM","NÃO")</f>
        <v>SIM</v>
      </c>
      <c r="M51" s="36" t="s">
        <v>53</v>
      </c>
      <c r="N51" s="36" t="s">
        <v>53</v>
      </c>
      <c r="O51" s="37" t="s">
        <v>53</v>
      </c>
      <c r="P51" s="37" t="s">
        <v>54</v>
      </c>
      <c r="Q51" s="38" t="s">
        <v>134</v>
      </c>
      <c r="R51" s="38" t="s">
        <v>54</v>
      </c>
      <c r="S51" s="36" t="s">
        <v>56</v>
      </c>
      <c r="T51" s="36" t="s">
        <v>57</v>
      </c>
      <c r="U51" s="36" t="s">
        <v>52</v>
      </c>
      <c r="V51" s="36">
        <v>4.5999999999999996</v>
      </c>
      <c r="W51" s="36">
        <v>5.07</v>
      </c>
      <c r="X51" s="39">
        <f t="shared" si="2"/>
        <v>1149.9000000000001</v>
      </c>
      <c r="Y51" s="40">
        <f t="shared" ref="Y51:Y67" si="3">ROUNDUP(X51/$Y$17,2)</f>
        <v>224.16</v>
      </c>
    </row>
    <row r="52" spans="1:25" ht="37.5" customHeight="1" x14ac:dyDescent="0.2">
      <c r="A52" s="26" t="s">
        <v>239</v>
      </c>
      <c r="B52" s="27" t="s">
        <v>240</v>
      </c>
      <c r="C52" s="26">
        <v>8931</v>
      </c>
      <c r="D52" s="42" t="s">
        <v>241</v>
      </c>
      <c r="E52" s="29">
        <v>9850226380</v>
      </c>
      <c r="F52" s="30">
        <v>882.12</v>
      </c>
      <c r="G52" s="31" t="s">
        <v>51</v>
      </c>
      <c r="H52" s="30"/>
      <c r="I52" s="31"/>
      <c r="J52" s="44"/>
      <c r="K52" s="31"/>
      <c r="L52" s="51" t="str">
        <f>IF(Tabela8[[#This Row],[N° SC]]&gt;1,"SIM","NÃO")</f>
        <v>SIM</v>
      </c>
      <c r="M52" s="36" t="s">
        <v>53</v>
      </c>
      <c r="N52" s="36" t="s">
        <v>53</v>
      </c>
      <c r="O52" s="37" t="s">
        <v>53</v>
      </c>
      <c r="P52" s="37" t="s">
        <v>54</v>
      </c>
      <c r="Q52" s="38" t="s">
        <v>52</v>
      </c>
      <c r="R52" s="38"/>
      <c r="S52" s="38"/>
      <c r="T52" s="38"/>
      <c r="U52" s="36" t="s">
        <v>52</v>
      </c>
      <c r="V52" s="36">
        <v>1.98</v>
      </c>
      <c r="W52" s="36">
        <v>2.5</v>
      </c>
      <c r="X52" s="39">
        <f t="shared" si="2"/>
        <v>882.12</v>
      </c>
      <c r="Y52" s="40">
        <f t="shared" si="3"/>
        <v>171.95999999999998</v>
      </c>
    </row>
    <row r="53" spans="1:25" ht="37.5" customHeight="1" x14ac:dyDescent="0.2">
      <c r="A53" s="28" t="s">
        <v>242</v>
      </c>
      <c r="B53" s="46" t="s">
        <v>243</v>
      </c>
      <c r="C53" s="26"/>
      <c r="D53" s="42" t="s">
        <v>244</v>
      </c>
      <c r="E53" s="63" t="s">
        <v>245</v>
      </c>
      <c r="F53" s="78">
        <v>391.47</v>
      </c>
      <c r="G53" s="79" t="s">
        <v>246</v>
      </c>
      <c r="H53" s="41"/>
      <c r="I53" s="31"/>
      <c r="J53" s="44"/>
      <c r="K53" s="31"/>
      <c r="L53" s="51" t="str">
        <f>IF(Tabela8[[#This Row],[N° SC]]&gt;1,"SIM","NÃO")</f>
        <v>NÃO</v>
      </c>
      <c r="M53" s="37" t="s">
        <v>54</v>
      </c>
      <c r="N53" s="37" t="s">
        <v>54</v>
      </c>
      <c r="O53" s="37" t="s">
        <v>54</v>
      </c>
      <c r="P53" s="37" t="s">
        <v>54</v>
      </c>
      <c r="Q53" s="38" t="s">
        <v>52</v>
      </c>
      <c r="R53" s="38"/>
      <c r="S53" s="38"/>
      <c r="T53" s="38"/>
      <c r="U53" s="36" t="s">
        <v>52</v>
      </c>
      <c r="V53" s="36"/>
      <c r="W53" s="36"/>
      <c r="X53" s="39">
        <f t="shared" si="2"/>
        <v>391.47</v>
      </c>
      <c r="Y53" s="40">
        <f t="shared" si="3"/>
        <v>76.31</v>
      </c>
    </row>
    <row r="54" spans="1:25" ht="37.5" customHeight="1" x14ac:dyDescent="0.2">
      <c r="A54" s="28" t="s">
        <v>247</v>
      </c>
      <c r="B54" s="46" t="s">
        <v>248</v>
      </c>
      <c r="C54" s="26">
        <v>8735</v>
      </c>
      <c r="D54" s="42" t="s">
        <v>249</v>
      </c>
      <c r="E54" s="63" t="s">
        <v>250</v>
      </c>
      <c r="F54" s="41">
        <v>763.6</v>
      </c>
      <c r="G54" s="31" t="s">
        <v>251</v>
      </c>
      <c r="H54" s="41">
        <v>765.95</v>
      </c>
      <c r="I54" s="31" t="s">
        <v>252</v>
      </c>
      <c r="J54" s="44">
        <v>823.24</v>
      </c>
      <c r="K54" s="31" t="s">
        <v>253</v>
      </c>
      <c r="L54" s="51" t="str">
        <f>IF(Tabela8[[#This Row],[N° SC]]&gt;1,"SIM","NÃO")</f>
        <v>SIM</v>
      </c>
      <c r="M54" s="37" t="s">
        <v>53</v>
      </c>
      <c r="N54" s="37" t="s">
        <v>53</v>
      </c>
      <c r="O54" s="37" t="s">
        <v>54</v>
      </c>
      <c r="P54" s="37" t="s">
        <v>54</v>
      </c>
      <c r="Q54" s="38" t="s">
        <v>52</v>
      </c>
      <c r="R54" s="38"/>
      <c r="S54" s="38"/>
      <c r="T54" s="38"/>
      <c r="U54" s="36" t="s">
        <v>52</v>
      </c>
      <c r="V54" s="36"/>
      <c r="W54" s="36"/>
      <c r="X54" s="39"/>
      <c r="Y54" s="40">
        <f t="shared" si="3"/>
        <v>0</v>
      </c>
    </row>
    <row r="55" spans="1:25" ht="37.5" customHeight="1" x14ac:dyDescent="0.2">
      <c r="A55" s="28" t="s">
        <v>254</v>
      </c>
      <c r="B55" s="46" t="s">
        <v>255</v>
      </c>
      <c r="C55" s="26">
        <v>8735</v>
      </c>
      <c r="D55" s="42" t="s">
        <v>256</v>
      </c>
      <c r="E55" s="63" t="s">
        <v>257</v>
      </c>
      <c r="F55" s="41">
        <v>763.6</v>
      </c>
      <c r="G55" s="31" t="s">
        <v>251</v>
      </c>
      <c r="H55" s="41">
        <v>765.95</v>
      </c>
      <c r="I55" s="31" t="s">
        <v>252</v>
      </c>
      <c r="J55" s="44">
        <v>823.24</v>
      </c>
      <c r="K55" s="31" t="s">
        <v>253</v>
      </c>
      <c r="L55" s="51" t="str">
        <f>IF(Tabela8[[#This Row],[N° SC]]&gt;1,"SIM","NÃO")</f>
        <v>SIM</v>
      </c>
      <c r="M55" s="37" t="s">
        <v>53</v>
      </c>
      <c r="N55" s="37" t="s">
        <v>53</v>
      </c>
      <c r="O55" s="37" t="s">
        <v>53</v>
      </c>
      <c r="P55" s="37" t="s">
        <v>54</v>
      </c>
      <c r="Q55" s="38" t="s">
        <v>52</v>
      </c>
      <c r="R55" s="38"/>
      <c r="S55" s="38"/>
      <c r="T55" s="38"/>
      <c r="U55" s="36" t="s">
        <v>52</v>
      </c>
      <c r="V55" s="36"/>
      <c r="W55" s="36"/>
      <c r="X55" s="39">
        <f>IFERROR(SMALL(F55:J55,1),"-")</f>
        <v>763.6</v>
      </c>
      <c r="Y55" s="40">
        <f t="shared" si="3"/>
        <v>148.85</v>
      </c>
    </row>
    <row r="56" spans="1:25" ht="37.5" customHeight="1" x14ac:dyDescent="0.2">
      <c r="A56" s="26" t="s">
        <v>258</v>
      </c>
      <c r="B56" s="27" t="s">
        <v>259</v>
      </c>
      <c r="C56" s="26"/>
      <c r="D56" s="42" t="s">
        <v>260</v>
      </c>
      <c r="E56" s="29" t="s">
        <v>261</v>
      </c>
      <c r="F56" s="30">
        <v>517.55999999999995</v>
      </c>
      <c r="G56" s="31" t="s">
        <v>262</v>
      </c>
      <c r="H56" s="30">
        <v>539.12</v>
      </c>
      <c r="I56" s="31" t="s">
        <v>263</v>
      </c>
      <c r="J56" s="44">
        <v>580.28</v>
      </c>
      <c r="K56" s="31" t="s">
        <v>264</v>
      </c>
      <c r="L56" s="51" t="str">
        <f>IF(Tabela8[[#This Row],[N° SC]]&gt;1,"SIM","NÃO")</f>
        <v>NÃO</v>
      </c>
      <c r="M56" s="36" t="s">
        <v>54</v>
      </c>
      <c r="N56" s="37" t="s">
        <v>54</v>
      </c>
      <c r="O56" s="37" t="s">
        <v>54</v>
      </c>
      <c r="P56" s="37" t="s">
        <v>54</v>
      </c>
      <c r="Q56" s="38" t="s">
        <v>52</v>
      </c>
      <c r="R56" s="38"/>
      <c r="S56" s="38"/>
      <c r="T56" s="38"/>
      <c r="U56" s="36" t="s">
        <v>52</v>
      </c>
      <c r="V56" s="36"/>
      <c r="W56" s="36"/>
      <c r="X56" s="39">
        <f>IFERROR(SMALL(F56:J56,1),"-")</f>
        <v>517.55999999999995</v>
      </c>
      <c r="Y56" s="40">
        <f t="shared" si="3"/>
        <v>100.89</v>
      </c>
    </row>
    <row r="57" spans="1:25" ht="37.5" customHeight="1" x14ac:dyDescent="0.2">
      <c r="A57" s="26" t="s">
        <v>265</v>
      </c>
      <c r="B57" s="27" t="s">
        <v>266</v>
      </c>
      <c r="C57" s="26">
        <v>8143</v>
      </c>
      <c r="D57" s="42" t="s">
        <v>267</v>
      </c>
      <c r="E57" s="29" t="s">
        <v>268</v>
      </c>
      <c r="F57" s="44">
        <v>774.46</v>
      </c>
      <c r="G57" s="31" t="s">
        <v>269</v>
      </c>
      <c r="H57" s="44">
        <v>799</v>
      </c>
      <c r="I57" s="48" t="s">
        <v>270</v>
      </c>
      <c r="J57" s="44">
        <v>799</v>
      </c>
      <c r="K57" s="49" t="s">
        <v>271</v>
      </c>
      <c r="L57" s="50" t="str">
        <f>IF(Tabela8[[#This Row],[N° SC]]&gt;1,"SIM","NÃO")</f>
        <v>SIM</v>
      </c>
      <c r="M57" s="36" t="s">
        <v>53</v>
      </c>
      <c r="N57" s="54" t="s">
        <v>53</v>
      </c>
      <c r="O57" s="37" t="s">
        <v>53</v>
      </c>
      <c r="P57" s="37" t="s">
        <v>54</v>
      </c>
      <c r="Q57" s="38" t="s">
        <v>272</v>
      </c>
      <c r="R57" s="38" t="s">
        <v>53</v>
      </c>
      <c r="S57" s="38" t="s">
        <v>124</v>
      </c>
      <c r="T57" s="38" t="s">
        <v>125</v>
      </c>
      <c r="U57" s="36" t="s">
        <v>52</v>
      </c>
      <c r="V57" s="38">
        <v>4.1900000000000004</v>
      </c>
      <c r="W57" s="38">
        <v>4.6900000000000004</v>
      </c>
      <c r="X57" s="39">
        <f>IFERROR(SMALL(F57:J57,1),"-")</f>
        <v>774.46</v>
      </c>
      <c r="Y57" s="40">
        <f t="shared" si="3"/>
        <v>150.97</v>
      </c>
    </row>
    <row r="58" spans="1:25" ht="37.5" customHeight="1" x14ac:dyDescent="0.2">
      <c r="A58" s="28" t="s">
        <v>273</v>
      </c>
      <c r="B58" s="46" t="s">
        <v>274</v>
      </c>
      <c r="C58" s="26">
        <v>8736</v>
      </c>
      <c r="D58" s="42" t="s">
        <v>275</v>
      </c>
      <c r="E58" s="63" t="s">
        <v>276</v>
      </c>
      <c r="F58" s="41">
        <v>490.82</v>
      </c>
      <c r="G58" s="31" t="s">
        <v>277</v>
      </c>
      <c r="H58" s="41">
        <v>498.95</v>
      </c>
      <c r="I58" s="31" t="s">
        <v>278</v>
      </c>
      <c r="J58" s="44">
        <v>522.5</v>
      </c>
      <c r="K58" s="31" t="s">
        <v>279</v>
      </c>
      <c r="L58" s="51" t="str">
        <f>IF(Tabela8[[#This Row],[N° SC]]&gt;1,"SIM","NÃO")</f>
        <v>SIM</v>
      </c>
      <c r="M58" s="37" t="s">
        <v>53</v>
      </c>
      <c r="N58" s="37" t="s">
        <v>53</v>
      </c>
      <c r="O58" s="37" t="s">
        <v>53</v>
      </c>
      <c r="P58" s="37" t="s">
        <v>54</v>
      </c>
      <c r="Q58" s="38" t="s">
        <v>52</v>
      </c>
      <c r="R58" s="38"/>
      <c r="S58" s="38"/>
      <c r="T58" s="38"/>
      <c r="U58" s="36" t="s">
        <v>52</v>
      </c>
      <c r="V58" s="36"/>
      <c r="W58" s="36"/>
      <c r="X58" s="39"/>
      <c r="Y58" s="40">
        <f t="shared" si="3"/>
        <v>0</v>
      </c>
    </row>
    <row r="59" spans="1:25" ht="37.5" customHeight="1" x14ac:dyDescent="0.2">
      <c r="A59" s="28" t="s">
        <v>280</v>
      </c>
      <c r="B59" s="46" t="s">
        <v>281</v>
      </c>
      <c r="C59" s="26">
        <v>8736</v>
      </c>
      <c r="D59" s="42" t="s">
        <v>282</v>
      </c>
      <c r="E59" s="63" t="s">
        <v>283</v>
      </c>
      <c r="F59" s="41">
        <v>490.82</v>
      </c>
      <c r="G59" s="31" t="s">
        <v>277</v>
      </c>
      <c r="H59" s="41">
        <v>498.95</v>
      </c>
      <c r="I59" s="31" t="s">
        <v>278</v>
      </c>
      <c r="J59" s="44">
        <v>522.5</v>
      </c>
      <c r="K59" s="31" t="s">
        <v>279</v>
      </c>
      <c r="L59" s="51" t="str">
        <f>IF(Tabela8[[#This Row],[N° SC]]&gt;1,"SIM","NÃO")</f>
        <v>SIM</v>
      </c>
      <c r="M59" s="37" t="s">
        <v>53</v>
      </c>
      <c r="N59" s="37" t="s">
        <v>53</v>
      </c>
      <c r="O59" s="37" t="s">
        <v>53</v>
      </c>
      <c r="P59" s="37" t="s">
        <v>54</v>
      </c>
      <c r="Q59" s="38" t="s">
        <v>89</v>
      </c>
      <c r="R59" s="38" t="s">
        <v>53</v>
      </c>
      <c r="S59" s="38" t="s">
        <v>67</v>
      </c>
      <c r="T59" s="38" t="s">
        <v>57</v>
      </c>
      <c r="U59" s="36" t="s">
        <v>52</v>
      </c>
      <c r="V59" s="38">
        <v>5.05</v>
      </c>
      <c r="W59" s="38">
        <v>5.55</v>
      </c>
      <c r="X59" s="39">
        <f t="shared" ref="X59:X69" si="4">IFERROR(SMALL(F59:J59,1),"-")</f>
        <v>490.82</v>
      </c>
      <c r="Y59" s="40">
        <f t="shared" si="3"/>
        <v>95.68</v>
      </c>
    </row>
    <row r="60" spans="1:25" ht="37.5" customHeight="1" x14ac:dyDescent="0.2">
      <c r="A60" s="26" t="s">
        <v>284</v>
      </c>
      <c r="B60" s="27" t="s">
        <v>285</v>
      </c>
      <c r="C60" s="26">
        <v>9356</v>
      </c>
      <c r="D60" s="42" t="s">
        <v>286</v>
      </c>
      <c r="E60" s="29" t="s">
        <v>287</v>
      </c>
      <c r="F60" s="30">
        <v>608.21</v>
      </c>
      <c r="G60" s="31" t="s">
        <v>288</v>
      </c>
      <c r="H60" s="30">
        <v>1073.79</v>
      </c>
      <c r="I60" s="31" t="s">
        <v>289</v>
      </c>
      <c r="J60" s="44" t="s">
        <v>52</v>
      </c>
      <c r="K60" s="43" t="s">
        <v>52</v>
      </c>
      <c r="L60" s="45" t="str">
        <f>IF(Tabela8[[#This Row],[N° SC]]&gt;1,"SIM","NÃO")</f>
        <v>SIM</v>
      </c>
      <c r="M60" s="36" t="s">
        <v>53</v>
      </c>
      <c r="N60" s="37" t="s">
        <v>54</v>
      </c>
      <c r="O60" s="37" t="s">
        <v>54</v>
      </c>
      <c r="P60" s="37" t="s">
        <v>54</v>
      </c>
      <c r="Q60" s="38" t="s">
        <v>52</v>
      </c>
      <c r="R60" s="38"/>
      <c r="S60" s="38"/>
      <c r="T60" s="38"/>
      <c r="U60" s="36" t="s">
        <v>52</v>
      </c>
      <c r="V60" s="36"/>
      <c r="W60" s="36"/>
      <c r="X60" s="39">
        <f t="shared" si="4"/>
        <v>608.21</v>
      </c>
      <c r="Y60" s="40">
        <f t="shared" si="3"/>
        <v>118.56</v>
      </c>
    </row>
    <row r="61" spans="1:25" ht="37.5" customHeight="1" x14ac:dyDescent="0.2">
      <c r="A61" s="28" t="s">
        <v>290</v>
      </c>
      <c r="B61" s="46" t="s">
        <v>291</v>
      </c>
      <c r="C61" s="26"/>
      <c r="D61" s="42" t="s">
        <v>292</v>
      </c>
      <c r="E61" s="63" t="s">
        <v>293</v>
      </c>
      <c r="F61" s="41">
        <v>604.07000000000005</v>
      </c>
      <c r="G61" s="31" t="s">
        <v>294</v>
      </c>
      <c r="H61" s="41">
        <v>622.22</v>
      </c>
      <c r="I61" s="31" t="s">
        <v>295</v>
      </c>
      <c r="J61" s="44">
        <v>675.67</v>
      </c>
      <c r="K61" s="31" t="s">
        <v>296</v>
      </c>
      <c r="L61" s="51" t="str">
        <f>IF(Tabela8[[#This Row],[N° SC]]&gt;1,"SIM","NÃO")</f>
        <v>NÃO</v>
      </c>
      <c r="M61" s="37" t="s">
        <v>54</v>
      </c>
      <c r="N61" s="37" t="s">
        <v>54</v>
      </c>
      <c r="O61" s="37" t="s">
        <v>54</v>
      </c>
      <c r="P61" s="37" t="s">
        <v>54</v>
      </c>
      <c r="Q61" s="38" t="s">
        <v>52</v>
      </c>
      <c r="R61" s="38"/>
      <c r="S61" s="38"/>
      <c r="T61" s="38"/>
      <c r="U61" s="36" t="s">
        <v>52</v>
      </c>
      <c r="V61" s="36"/>
      <c r="W61" s="36"/>
      <c r="X61" s="39">
        <f t="shared" si="4"/>
        <v>604.07000000000005</v>
      </c>
      <c r="Y61" s="40">
        <f t="shared" si="3"/>
        <v>117.76</v>
      </c>
    </row>
    <row r="62" spans="1:25" ht="37.5" customHeight="1" x14ac:dyDescent="0.2">
      <c r="A62" s="28" t="s">
        <v>297</v>
      </c>
      <c r="B62" s="46" t="s">
        <v>298</v>
      </c>
      <c r="C62" s="26"/>
      <c r="D62" s="42" t="s">
        <v>292</v>
      </c>
      <c r="E62" s="63" t="s">
        <v>293</v>
      </c>
      <c r="F62" s="41">
        <v>604.07000000000005</v>
      </c>
      <c r="G62" s="31" t="s">
        <v>294</v>
      </c>
      <c r="H62" s="41">
        <v>622.22</v>
      </c>
      <c r="I62" s="31" t="s">
        <v>295</v>
      </c>
      <c r="J62" s="44">
        <v>675.67</v>
      </c>
      <c r="K62" s="31" t="s">
        <v>296</v>
      </c>
      <c r="L62" s="51" t="str">
        <f>IF(Tabela8[[#This Row],[N° SC]]&gt;1,"SIM","NÃO")</f>
        <v>NÃO</v>
      </c>
      <c r="M62" s="37" t="s">
        <v>54</v>
      </c>
      <c r="N62" s="37" t="s">
        <v>54</v>
      </c>
      <c r="O62" s="37" t="s">
        <v>54</v>
      </c>
      <c r="P62" s="37" t="s">
        <v>54</v>
      </c>
      <c r="Q62" s="38" t="s">
        <v>52</v>
      </c>
      <c r="R62" s="38"/>
      <c r="S62" s="38"/>
      <c r="T62" s="38"/>
      <c r="U62" s="36" t="s">
        <v>52</v>
      </c>
      <c r="V62" s="36"/>
      <c r="W62" s="36"/>
      <c r="X62" s="39">
        <f t="shared" si="4"/>
        <v>604.07000000000005</v>
      </c>
      <c r="Y62" s="40">
        <f t="shared" si="3"/>
        <v>117.76</v>
      </c>
    </row>
    <row r="63" spans="1:25" ht="37.5" customHeight="1" x14ac:dyDescent="0.2">
      <c r="A63" s="28" t="s">
        <v>299</v>
      </c>
      <c r="B63" s="46" t="s">
        <v>300</v>
      </c>
      <c r="C63" s="26"/>
      <c r="D63" s="42" t="s">
        <v>301</v>
      </c>
      <c r="E63" s="63" t="s">
        <v>302</v>
      </c>
      <c r="F63" s="41">
        <v>381.7</v>
      </c>
      <c r="G63" s="31" t="s">
        <v>303</v>
      </c>
      <c r="H63" s="41">
        <v>384.97</v>
      </c>
      <c r="I63" s="31" t="s">
        <v>304</v>
      </c>
      <c r="J63" s="44">
        <v>388.24</v>
      </c>
      <c r="K63" s="31" t="s">
        <v>305</v>
      </c>
      <c r="L63" s="51" t="str">
        <f>IF(Tabela8[[#This Row],[N° SC]]&gt;1,"SIM","NÃO")</f>
        <v>NÃO</v>
      </c>
      <c r="M63" s="37" t="s">
        <v>54</v>
      </c>
      <c r="N63" s="37" t="s">
        <v>54</v>
      </c>
      <c r="O63" s="37" t="s">
        <v>54</v>
      </c>
      <c r="P63" s="37" t="s">
        <v>54</v>
      </c>
      <c r="Q63" s="38" t="s">
        <v>52</v>
      </c>
      <c r="R63" s="38"/>
      <c r="S63" s="38"/>
      <c r="T63" s="38"/>
      <c r="U63" s="36" t="s">
        <v>52</v>
      </c>
      <c r="V63" s="36"/>
      <c r="W63" s="36"/>
      <c r="X63" s="39">
        <f t="shared" si="4"/>
        <v>381.7</v>
      </c>
      <c r="Y63" s="40">
        <f t="shared" si="3"/>
        <v>74.410000000000011</v>
      </c>
    </row>
    <row r="64" spans="1:25" ht="37.5" customHeight="1" x14ac:dyDescent="0.2">
      <c r="A64" s="55" t="s">
        <v>306</v>
      </c>
      <c r="B64" s="56" t="s">
        <v>307</v>
      </c>
      <c r="C64" s="26">
        <v>8577</v>
      </c>
      <c r="D64" s="57" t="s">
        <v>308</v>
      </c>
      <c r="E64" s="29" t="s">
        <v>309</v>
      </c>
      <c r="F64" s="30">
        <v>483.23</v>
      </c>
      <c r="G64" s="58" t="s">
        <v>310</v>
      </c>
      <c r="H64" s="30" t="s">
        <v>52</v>
      </c>
      <c r="I64" s="43" t="s">
        <v>52</v>
      </c>
      <c r="J64" s="44" t="s">
        <v>52</v>
      </c>
      <c r="K64" s="43" t="s">
        <v>52</v>
      </c>
      <c r="L64" s="45" t="str">
        <f>IF(Tabela8[[#This Row],[N° SC]]&gt;1,"SIM","NÃO")</f>
        <v>SIM</v>
      </c>
      <c r="M64" s="37" t="s">
        <v>53</v>
      </c>
      <c r="N64" s="37" t="s">
        <v>53</v>
      </c>
      <c r="O64" s="37" t="s">
        <v>53</v>
      </c>
      <c r="P64" s="37" t="s">
        <v>54</v>
      </c>
      <c r="Q64" s="38" t="s">
        <v>173</v>
      </c>
      <c r="R64" s="38" t="s">
        <v>53</v>
      </c>
      <c r="S64" s="38" t="s">
        <v>124</v>
      </c>
      <c r="T64" s="38" t="s">
        <v>125</v>
      </c>
      <c r="U64" s="36" t="s">
        <v>52</v>
      </c>
      <c r="V64" s="38">
        <v>4.8099999999999996</v>
      </c>
      <c r="W64" s="38">
        <v>5.31</v>
      </c>
      <c r="X64" s="39">
        <f t="shared" si="4"/>
        <v>483.23</v>
      </c>
      <c r="Y64" s="40">
        <f t="shared" si="3"/>
        <v>94.2</v>
      </c>
    </row>
    <row r="65" spans="1:25" ht="37.5" customHeight="1" x14ac:dyDescent="0.2">
      <c r="A65" s="55" t="s">
        <v>311</v>
      </c>
      <c r="B65" s="56" t="s">
        <v>312</v>
      </c>
      <c r="C65" s="26">
        <v>8578</v>
      </c>
      <c r="D65" s="57" t="s">
        <v>313</v>
      </c>
      <c r="E65" s="29" t="s">
        <v>314</v>
      </c>
      <c r="F65" s="30">
        <v>536</v>
      </c>
      <c r="G65" s="58" t="s">
        <v>315</v>
      </c>
      <c r="H65" s="30"/>
      <c r="I65" s="59"/>
      <c r="J65" s="60"/>
      <c r="K65" s="60"/>
      <c r="L65" s="45" t="str">
        <f>IF(Tabela8[[#This Row],[N° SC]]&gt;1,"SIM","NÃO")</f>
        <v>SIM</v>
      </c>
      <c r="M65" s="37" t="s">
        <v>53</v>
      </c>
      <c r="N65" s="37" t="s">
        <v>53</v>
      </c>
      <c r="O65" s="37" t="s">
        <v>53</v>
      </c>
      <c r="P65" s="37" t="s">
        <v>54</v>
      </c>
      <c r="Q65" s="38" t="s">
        <v>316</v>
      </c>
      <c r="R65" s="38" t="s">
        <v>53</v>
      </c>
      <c r="S65" s="38" t="s">
        <v>67</v>
      </c>
      <c r="T65" s="38" t="s">
        <v>57</v>
      </c>
      <c r="U65" s="36" t="s">
        <v>52</v>
      </c>
      <c r="V65" s="38">
        <v>4.6900000000000004</v>
      </c>
      <c r="W65" s="38">
        <v>5</v>
      </c>
      <c r="X65" s="39">
        <f t="shared" si="4"/>
        <v>536</v>
      </c>
      <c r="Y65" s="40">
        <f t="shared" si="3"/>
        <v>104.49000000000001</v>
      </c>
    </row>
    <row r="66" spans="1:25" ht="37.5" customHeight="1" x14ac:dyDescent="0.2">
      <c r="A66" s="55" t="s">
        <v>317</v>
      </c>
      <c r="B66" s="56" t="s">
        <v>318</v>
      </c>
      <c r="C66" s="26">
        <v>8579</v>
      </c>
      <c r="D66" s="57" t="s">
        <v>313</v>
      </c>
      <c r="E66" s="29" t="s">
        <v>319</v>
      </c>
      <c r="F66" s="30">
        <v>496.28</v>
      </c>
      <c r="G66" s="58" t="s">
        <v>320</v>
      </c>
      <c r="H66" s="30" t="s">
        <v>52</v>
      </c>
      <c r="I66" s="43" t="s">
        <v>52</v>
      </c>
      <c r="J66" s="44" t="s">
        <v>52</v>
      </c>
      <c r="K66" s="43" t="s">
        <v>52</v>
      </c>
      <c r="L66" s="37" t="str">
        <f>IF(Tabela8[[#This Row],[N° SC]]&gt;1,"SIM","NÃO")</f>
        <v>SIM</v>
      </c>
      <c r="M66" s="38" t="s">
        <v>53</v>
      </c>
      <c r="N66" s="38" t="s">
        <v>53</v>
      </c>
      <c r="O66" s="37" t="s">
        <v>53</v>
      </c>
      <c r="P66" s="37" t="s">
        <v>54</v>
      </c>
      <c r="Q66" s="36" t="s">
        <v>123</v>
      </c>
      <c r="R66" s="38" t="s">
        <v>53</v>
      </c>
      <c r="S66" s="38" t="s">
        <v>124</v>
      </c>
      <c r="T66" s="38" t="s">
        <v>125</v>
      </c>
      <c r="U66" s="36" t="s">
        <v>52</v>
      </c>
      <c r="V66" s="38">
        <v>4.82</v>
      </c>
      <c r="W66" s="38">
        <v>5.32</v>
      </c>
      <c r="X66" s="39">
        <f t="shared" si="4"/>
        <v>496.28</v>
      </c>
      <c r="Y66" s="40">
        <f t="shared" si="3"/>
        <v>96.75</v>
      </c>
    </row>
    <row r="67" spans="1:25" ht="37.5" customHeight="1" x14ac:dyDescent="0.2">
      <c r="A67" s="55" t="s">
        <v>321</v>
      </c>
      <c r="B67" s="56" t="s">
        <v>322</v>
      </c>
      <c r="C67" s="26">
        <v>8580</v>
      </c>
      <c r="D67" s="57" t="s">
        <v>313</v>
      </c>
      <c r="E67" s="29" t="s">
        <v>323</v>
      </c>
      <c r="F67" s="30">
        <v>558.9</v>
      </c>
      <c r="G67" s="58" t="s">
        <v>324</v>
      </c>
      <c r="H67" s="30"/>
      <c r="I67" s="59"/>
      <c r="J67" s="60"/>
      <c r="K67" s="60"/>
      <c r="L67" s="45" t="str">
        <f>IF(Tabela8[[#This Row],[N° SC]]&gt;1,"SIM","NÃO")</f>
        <v>SIM</v>
      </c>
      <c r="M67" s="37" t="s">
        <v>53</v>
      </c>
      <c r="N67" s="37" t="s">
        <v>53</v>
      </c>
      <c r="O67" s="37" t="s">
        <v>53</v>
      </c>
      <c r="P67" s="37" t="s">
        <v>54</v>
      </c>
      <c r="Q67" s="38" t="s">
        <v>316</v>
      </c>
      <c r="R67" s="38" t="s">
        <v>53</v>
      </c>
      <c r="S67" s="38" t="s">
        <v>67</v>
      </c>
      <c r="T67" s="38" t="s">
        <v>57</v>
      </c>
      <c r="U67" s="36" t="s">
        <v>52</v>
      </c>
      <c r="V67" s="38">
        <v>4.6900000000000004</v>
      </c>
      <c r="W67" s="38">
        <v>5</v>
      </c>
      <c r="X67" s="39">
        <f t="shared" si="4"/>
        <v>558.9</v>
      </c>
      <c r="Y67" s="40">
        <f t="shared" si="3"/>
        <v>108.95</v>
      </c>
    </row>
    <row r="68" spans="1:25" ht="37.5" customHeight="1" x14ac:dyDescent="0.2">
      <c r="A68" s="26" t="s">
        <v>325</v>
      </c>
      <c r="B68" s="27" t="s">
        <v>326</v>
      </c>
      <c r="C68" s="26">
        <v>7295</v>
      </c>
      <c r="D68" s="42" t="s">
        <v>327</v>
      </c>
      <c r="E68" s="29">
        <v>522129310</v>
      </c>
      <c r="F68" s="41">
        <v>510</v>
      </c>
      <c r="G68" s="31" t="s">
        <v>328</v>
      </c>
      <c r="H68" s="30"/>
      <c r="I68" s="31"/>
      <c r="J68" s="44"/>
      <c r="K68" s="31"/>
      <c r="L68" s="51" t="str">
        <f>IF(Tabela8[[#This Row],[N° SC]]&gt;1,"SIM","NÃO")</f>
        <v>SIM</v>
      </c>
      <c r="M68" s="36" t="s">
        <v>53</v>
      </c>
      <c r="N68" s="36" t="s">
        <v>53</v>
      </c>
      <c r="O68" s="36" t="s">
        <v>53</v>
      </c>
      <c r="P68" s="36" t="s">
        <v>54</v>
      </c>
      <c r="Q68" s="38" t="s">
        <v>186</v>
      </c>
      <c r="R68" s="36" t="s">
        <v>54</v>
      </c>
      <c r="S68" s="38" t="s">
        <v>187</v>
      </c>
      <c r="T68" s="36" t="s">
        <v>57</v>
      </c>
      <c r="U68" s="38" t="s">
        <v>188</v>
      </c>
      <c r="V68" s="38">
        <v>3.05</v>
      </c>
      <c r="W68" s="38">
        <v>3.16</v>
      </c>
      <c r="X68" s="39">
        <f t="shared" si="4"/>
        <v>510</v>
      </c>
      <c r="Y68" s="40">
        <v>94.62</v>
      </c>
    </row>
    <row r="69" spans="1:25" ht="37.5" customHeight="1" x14ac:dyDescent="0.2">
      <c r="A69" s="26" t="s">
        <v>329</v>
      </c>
      <c r="B69" s="27" t="s">
        <v>330</v>
      </c>
      <c r="C69" s="26">
        <v>7295</v>
      </c>
      <c r="D69" s="42" t="s">
        <v>331</v>
      </c>
      <c r="E69" s="29">
        <v>522129310</v>
      </c>
      <c r="F69" s="41">
        <v>815</v>
      </c>
      <c r="G69" s="31" t="s">
        <v>328</v>
      </c>
      <c r="H69" s="30"/>
      <c r="I69" s="31"/>
      <c r="J69" s="44"/>
      <c r="K69" s="31"/>
      <c r="L69" s="51" t="str">
        <f>IF(Tabela8[[#This Row],[N° SC]]&gt;1,"SIM","NÃO")</f>
        <v>SIM</v>
      </c>
      <c r="M69" s="36" t="s">
        <v>53</v>
      </c>
      <c r="N69" s="36" t="s">
        <v>53</v>
      </c>
      <c r="O69" s="36" t="s">
        <v>53</v>
      </c>
      <c r="P69" s="36" t="s">
        <v>54</v>
      </c>
      <c r="Q69" s="38" t="s">
        <v>186</v>
      </c>
      <c r="R69" s="38" t="s">
        <v>54</v>
      </c>
      <c r="S69" s="38" t="s">
        <v>187</v>
      </c>
      <c r="T69" s="36" t="s">
        <v>57</v>
      </c>
      <c r="U69" s="38" t="s">
        <v>188</v>
      </c>
      <c r="V69" s="38">
        <v>5.09</v>
      </c>
      <c r="W69" s="38">
        <v>5.47</v>
      </c>
      <c r="X69" s="39">
        <f t="shared" si="4"/>
        <v>815</v>
      </c>
      <c r="Y69" s="40">
        <v>101.88000000000001</v>
      </c>
    </row>
    <row r="70" spans="1:25" ht="37.5" customHeight="1" x14ac:dyDescent="0.2">
      <c r="A70" s="26" t="s">
        <v>332</v>
      </c>
      <c r="B70" s="27" t="s">
        <v>333</v>
      </c>
      <c r="C70" s="26">
        <v>7525</v>
      </c>
      <c r="D70" s="42" t="s">
        <v>334</v>
      </c>
      <c r="E70" s="29" t="s">
        <v>335</v>
      </c>
      <c r="F70" s="41">
        <v>471.68</v>
      </c>
      <c r="G70" s="31" t="s">
        <v>336</v>
      </c>
      <c r="H70" s="44"/>
      <c r="I70" s="31"/>
      <c r="J70" s="44"/>
      <c r="K70" s="31"/>
      <c r="L70" s="51" t="str">
        <f>IF(Tabela8[[#This Row],[N° SC]]&gt;1,"SIM","NÃO")</f>
        <v>SIM</v>
      </c>
      <c r="M70" s="54" t="s">
        <v>53</v>
      </c>
      <c r="N70" s="54" t="s">
        <v>53</v>
      </c>
      <c r="O70" s="54" t="s">
        <v>53</v>
      </c>
      <c r="P70" s="54" t="s">
        <v>54</v>
      </c>
      <c r="Q70" s="36" t="s">
        <v>144</v>
      </c>
      <c r="R70" s="38" t="s">
        <v>54</v>
      </c>
      <c r="S70" s="36" t="s">
        <v>145</v>
      </c>
      <c r="T70" s="36" t="s">
        <v>57</v>
      </c>
      <c r="U70" s="38" t="s">
        <v>146</v>
      </c>
      <c r="V70" s="38">
        <v>3.76</v>
      </c>
      <c r="W70" s="38">
        <v>4.1399999999999997</v>
      </c>
      <c r="X70" s="39">
        <v>471.68</v>
      </c>
      <c r="Y70" s="40">
        <v>90.707692307692312</v>
      </c>
    </row>
    <row r="71" spans="1:25" ht="37.5" customHeight="1" x14ac:dyDescent="0.2">
      <c r="A71" s="26" t="s">
        <v>337</v>
      </c>
      <c r="B71" s="27" t="s">
        <v>338</v>
      </c>
      <c r="C71" s="26">
        <v>7798</v>
      </c>
      <c r="D71" s="42" t="s">
        <v>339</v>
      </c>
      <c r="E71" s="29" t="s">
        <v>340</v>
      </c>
      <c r="F71" s="41">
        <v>899</v>
      </c>
      <c r="G71" s="31" t="s">
        <v>341</v>
      </c>
      <c r="H71" s="44" t="s">
        <v>52</v>
      </c>
      <c r="I71" s="31" t="s">
        <v>52</v>
      </c>
      <c r="J71" s="44" t="s">
        <v>52</v>
      </c>
      <c r="K71" s="31" t="s">
        <v>52</v>
      </c>
      <c r="L71" s="51" t="str">
        <f>IF(Tabela8[[#This Row],[N° SC]]&gt;1,"SIM","NÃO")</f>
        <v>SIM</v>
      </c>
      <c r="M71" s="54" t="s">
        <v>53</v>
      </c>
      <c r="N71" s="54" t="s">
        <v>53</v>
      </c>
      <c r="O71" s="54" t="s">
        <v>53</v>
      </c>
      <c r="P71" s="54" t="s">
        <v>54</v>
      </c>
      <c r="Q71" s="36" t="s">
        <v>144</v>
      </c>
      <c r="R71" s="38" t="s">
        <v>54</v>
      </c>
      <c r="S71" s="36" t="s">
        <v>145</v>
      </c>
      <c r="T71" s="36" t="s">
        <v>57</v>
      </c>
      <c r="U71" s="38" t="s">
        <v>146</v>
      </c>
      <c r="V71" s="38">
        <v>4.12</v>
      </c>
      <c r="W71" s="38">
        <v>4.4400000000000004</v>
      </c>
      <c r="X71" s="39">
        <v>899</v>
      </c>
      <c r="Y71" s="40">
        <v>172.88461538461539</v>
      </c>
    </row>
    <row r="72" spans="1:25" ht="37.5" customHeight="1" x14ac:dyDescent="0.2">
      <c r="A72" s="26" t="s">
        <v>342</v>
      </c>
      <c r="B72" s="27" t="s">
        <v>343</v>
      </c>
      <c r="C72" s="26">
        <v>9187</v>
      </c>
      <c r="D72" s="42" t="s">
        <v>344</v>
      </c>
      <c r="E72" s="29" t="s">
        <v>345</v>
      </c>
      <c r="F72" s="41">
        <v>174.08</v>
      </c>
      <c r="G72" s="31" t="s">
        <v>346</v>
      </c>
      <c r="H72" s="44" t="s">
        <v>52</v>
      </c>
      <c r="I72" s="31" t="s">
        <v>52</v>
      </c>
      <c r="J72" s="44" t="s">
        <v>52</v>
      </c>
      <c r="K72" s="31" t="s">
        <v>52</v>
      </c>
      <c r="L72" s="51" t="s">
        <v>53</v>
      </c>
      <c r="M72" s="37" t="s">
        <v>53</v>
      </c>
      <c r="N72" s="37" t="s">
        <v>53</v>
      </c>
      <c r="O72" s="37" t="s">
        <v>53</v>
      </c>
      <c r="P72" s="37" t="s">
        <v>54</v>
      </c>
      <c r="Q72" s="38" t="s">
        <v>52</v>
      </c>
      <c r="R72" s="38"/>
      <c r="S72" s="38"/>
      <c r="T72" s="38"/>
      <c r="U72" s="36" t="s">
        <v>52</v>
      </c>
      <c r="V72" s="36"/>
      <c r="W72" s="36"/>
      <c r="X72" s="39">
        <v>174.08</v>
      </c>
      <c r="Y72" s="40">
        <f t="shared" ref="Y72:Y87" si="5">ROUNDUP(X72/$Y$17,2)</f>
        <v>33.94</v>
      </c>
    </row>
    <row r="73" spans="1:25" ht="37.5" customHeight="1" x14ac:dyDescent="0.2">
      <c r="A73" s="28" t="s">
        <v>347</v>
      </c>
      <c r="B73" s="46" t="s">
        <v>348</v>
      </c>
      <c r="C73" s="26">
        <v>8737</v>
      </c>
      <c r="D73" s="42" t="s">
        <v>349</v>
      </c>
      <c r="E73" s="29" t="s">
        <v>350</v>
      </c>
      <c r="F73" s="41">
        <v>360.23</v>
      </c>
      <c r="G73" s="31" t="s">
        <v>351</v>
      </c>
      <c r="H73" s="41">
        <v>383.73</v>
      </c>
      <c r="I73" s="31" t="s">
        <v>352</v>
      </c>
      <c r="J73" s="44">
        <v>410</v>
      </c>
      <c r="K73" s="31" t="s">
        <v>353</v>
      </c>
      <c r="L73" s="51" t="str">
        <f>IF(Tabela8[[#This Row],[N° SC]]&gt;1,"SIM","NÃO")</f>
        <v>SIM</v>
      </c>
      <c r="M73" s="37" t="s">
        <v>53</v>
      </c>
      <c r="N73" s="37" t="s">
        <v>53</v>
      </c>
      <c r="O73" s="37" t="s">
        <v>54</v>
      </c>
      <c r="P73" s="37" t="s">
        <v>54</v>
      </c>
      <c r="Q73" s="38" t="s">
        <v>52</v>
      </c>
      <c r="R73" s="38"/>
      <c r="S73" s="38"/>
      <c r="T73" s="38" t="s">
        <v>96</v>
      </c>
      <c r="U73" s="36" t="s">
        <v>52</v>
      </c>
      <c r="V73" s="36"/>
      <c r="W73" s="36"/>
      <c r="X73" s="39">
        <f t="shared" ref="X73:X79" si="6">IFERROR(SMALL(F73:J73,1),"-")</f>
        <v>360.23</v>
      </c>
      <c r="Y73" s="40">
        <f t="shared" si="5"/>
        <v>70.23</v>
      </c>
    </row>
    <row r="74" spans="1:25" ht="37.5" customHeight="1" x14ac:dyDescent="0.2">
      <c r="A74" s="28" t="s">
        <v>354</v>
      </c>
      <c r="B74" s="46" t="s">
        <v>355</v>
      </c>
      <c r="C74" s="26" t="s">
        <v>106</v>
      </c>
      <c r="D74" s="42" t="s">
        <v>356</v>
      </c>
      <c r="E74" s="29" t="s">
        <v>357</v>
      </c>
      <c r="F74" s="41">
        <v>187.69</v>
      </c>
      <c r="G74" s="31" t="s">
        <v>358</v>
      </c>
      <c r="H74" s="41">
        <v>215</v>
      </c>
      <c r="I74" s="31" t="s">
        <v>359</v>
      </c>
      <c r="J74" s="44" t="s">
        <v>52</v>
      </c>
      <c r="K74" s="31" t="s">
        <v>52</v>
      </c>
      <c r="L74" s="51" t="str">
        <f>IF(Tabela8[[#This Row],[N° SC]]&gt;1,"SIM","NÃO")</f>
        <v>SIM</v>
      </c>
      <c r="M74" s="37" t="s">
        <v>53</v>
      </c>
      <c r="N74" s="37" t="s">
        <v>53</v>
      </c>
      <c r="O74" s="37" t="s">
        <v>54</v>
      </c>
      <c r="P74" s="37" t="s">
        <v>54</v>
      </c>
      <c r="Q74" s="38" t="s">
        <v>52</v>
      </c>
      <c r="R74" s="38" t="s">
        <v>54</v>
      </c>
      <c r="S74" s="38"/>
      <c r="T74" s="38"/>
      <c r="U74" s="36" t="s">
        <v>52</v>
      </c>
      <c r="V74" s="36"/>
      <c r="W74" s="36"/>
      <c r="X74" s="39">
        <f t="shared" si="6"/>
        <v>187.69</v>
      </c>
      <c r="Y74" s="40">
        <f t="shared" si="5"/>
        <v>36.589999999999996</v>
      </c>
    </row>
    <row r="75" spans="1:25" ht="37.5" customHeight="1" x14ac:dyDescent="0.2">
      <c r="A75" s="28" t="s">
        <v>360</v>
      </c>
      <c r="B75" s="46" t="s">
        <v>361</v>
      </c>
      <c r="C75" s="26" t="s">
        <v>106</v>
      </c>
      <c r="D75" s="42" t="s">
        <v>362</v>
      </c>
      <c r="E75" s="29">
        <v>45376</v>
      </c>
      <c r="F75" s="41">
        <v>553.22</v>
      </c>
      <c r="G75" s="31" t="s">
        <v>363</v>
      </c>
      <c r="H75" s="41">
        <v>736.56</v>
      </c>
      <c r="I75" s="31" t="s">
        <v>364</v>
      </c>
      <c r="J75" s="44">
        <v>754</v>
      </c>
      <c r="K75" s="31" t="s">
        <v>365</v>
      </c>
      <c r="L75" s="51" t="str">
        <f>IF(Tabela8[[#This Row],[N° SC]]&gt;1,"SIM","NÃO")</f>
        <v>SIM</v>
      </c>
      <c r="M75" s="37" t="s">
        <v>53</v>
      </c>
      <c r="N75" s="37" t="s">
        <v>53</v>
      </c>
      <c r="O75" s="37" t="s">
        <v>54</v>
      </c>
      <c r="P75" s="37" t="s">
        <v>54</v>
      </c>
      <c r="Q75" s="38" t="s">
        <v>52</v>
      </c>
      <c r="R75" s="38" t="s">
        <v>54</v>
      </c>
      <c r="S75" s="38"/>
      <c r="T75" s="38"/>
      <c r="U75" s="36" t="s">
        <v>52</v>
      </c>
      <c r="V75" s="36"/>
      <c r="W75" s="36"/>
      <c r="X75" s="39">
        <f t="shared" si="6"/>
        <v>553.22</v>
      </c>
      <c r="Y75" s="40">
        <f t="shared" si="5"/>
        <v>107.85000000000001</v>
      </c>
    </row>
    <row r="76" spans="1:25" ht="37.5" customHeight="1" x14ac:dyDescent="0.2">
      <c r="A76" s="28" t="s">
        <v>366</v>
      </c>
      <c r="B76" s="46" t="s">
        <v>367</v>
      </c>
      <c r="C76" s="26" t="s">
        <v>106</v>
      </c>
      <c r="D76" s="42" t="s">
        <v>368</v>
      </c>
      <c r="E76" s="29" t="s">
        <v>369</v>
      </c>
      <c r="F76" s="41">
        <v>454.79</v>
      </c>
      <c r="G76" s="31" t="s">
        <v>370</v>
      </c>
      <c r="H76" s="41">
        <v>539.23</v>
      </c>
      <c r="I76" s="31" t="s">
        <v>371</v>
      </c>
      <c r="J76" s="44">
        <v>563.95000000000005</v>
      </c>
      <c r="K76" s="31" t="s">
        <v>372</v>
      </c>
      <c r="L76" s="51" t="str">
        <f>IF(Tabela8[[#This Row],[N° SC]]&gt;1,"SIM","NÃO")</f>
        <v>SIM</v>
      </c>
      <c r="M76" s="37" t="s">
        <v>53</v>
      </c>
      <c r="N76" s="37" t="s">
        <v>53</v>
      </c>
      <c r="O76" s="37" t="s">
        <v>54</v>
      </c>
      <c r="P76" s="37" t="s">
        <v>54</v>
      </c>
      <c r="Q76" s="38" t="s">
        <v>52</v>
      </c>
      <c r="R76" s="38" t="s">
        <v>54</v>
      </c>
      <c r="S76" s="38"/>
      <c r="T76" s="38"/>
      <c r="U76" s="36" t="s">
        <v>52</v>
      </c>
      <c r="V76" s="36"/>
      <c r="W76" s="36"/>
      <c r="X76" s="39">
        <f t="shared" si="6"/>
        <v>454.79</v>
      </c>
      <c r="Y76" s="40">
        <f t="shared" si="5"/>
        <v>88.660000000000011</v>
      </c>
    </row>
    <row r="77" spans="1:25" ht="37.5" customHeight="1" x14ac:dyDescent="0.2">
      <c r="A77" s="28" t="s">
        <v>373</v>
      </c>
      <c r="B77" s="46" t="s">
        <v>374</v>
      </c>
      <c r="C77" s="26">
        <v>8943</v>
      </c>
      <c r="D77" s="42" t="s">
        <v>375</v>
      </c>
      <c r="E77" s="63" t="s">
        <v>376</v>
      </c>
      <c r="F77" s="41">
        <v>155.25</v>
      </c>
      <c r="G77" s="79" t="s">
        <v>377</v>
      </c>
      <c r="H77" s="41"/>
      <c r="I77" s="31"/>
      <c r="J77" s="44"/>
      <c r="K77" s="31"/>
      <c r="L77" s="51" t="str">
        <f>IF(Tabela8[[#This Row],[N° SC]]&gt;1,"SIM","NÃO")</f>
        <v>SIM</v>
      </c>
      <c r="M77" s="37" t="s">
        <v>53</v>
      </c>
      <c r="N77" s="37" t="s">
        <v>53</v>
      </c>
      <c r="O77" s="37" t="s">
        <v>53</v>
      </c>
      <c r="P77" s="37" t="s">
        <v>54</v>
      </c>
      <c r="Q77" s="38" t="s">
        <v>52</v>
      </c>
      <c r="R77" s="38"/>
      <c r="S77" s="38"/>
      <c r="T77" s="38"/>
      <c r="U77" s="36" t="s">
        <v>52</v>
      </c>
      <c r="V77" s="36"/>
      <c r="W77" s="36"/>
      <c r="X77" s="39">
        <f t="shared" si="6"/>
        <v>155.25</v>
      </c>
      <c r="Y77" s="40">
        <f t="shared" si="5"/>
        <v>30.270000000000003</v>
      </c>
    </row>
    <row r="78" spans="1:25" ht="37.5" customHeight="1" x14ac:dyDescent="0.2">
      <c r="A78" s="28" t="s">
        <v>378</v>
      </c>
      <c r="B78" s="46" t="s">
        <v>379</v>
      </c>
      <c r="C78" s="26">
        <v>8142</v>
      </c>
      <c r="D78" s="42" t="s">
        <v>380</v>
      </c>
      <c r="E78" s="63" t="s">
        <v>381</v>
      </c>
      <c r="F78" s="30">
        <v>433.74</v>
      </c>
      <c r="G78" s="61" t="s">
        <v>382</v>
      </c>
      <c r="H78" s="43"/>
      <c r="I78" s="44"/>
      <c r="J78" s="43"/>
      <c r="K78" s="43"/>
      <c r="L78" s="45" t="str">
        <f>IF(Tabela8[[#This Row],[N° SC]]&gt;1,"SIM","NÃO")</f>
        <v>SIM</v>
      </c>
      <c r="M78" s="37" t="s">
        <v>53</v>
      </c>
      <c r="N78" s="37" t="s">
        <v>53</v>
      </c>
      <c r="O78" s="37" t="s">
        <v>53</v>
      </c>
      <c r="P78" s="37" t="s">
        <v>54</v>
      </c>
      <c r="Q78" s="38" t="s">
        <v>383</v>
      </c>
      <c r="R78" s="38" t="s">
        <v>54</v>
      </c>
      <c r="S78" s="38" t="s">
        <v>169</v>
      </c>
      <c r="T78" s="38" t="s">
        <v>125</v>
      </c>
      <c r="U78" s="36" t="s">
        <v>146</v>
      </c>
      <c r="V78" s="36">
        <v>3.38</v>
      </c>
      <c r="W78" s="36">
        <v>3.58</v>
      </c>
      <c r="X78" s="39">
        <f t="shared" si="6"/>
        <v>433.74</v>
      </c>
      <c r="Y78" s="40">
        <f t="shared" si="5"/>
        <v>84.550000000000011</v>
      </c>
    </row>
    <row r="79" spans="1:25" ht="37.5" customHeight="1" x14ac:dyDescent="0.2">
      <c r="A79" s="28" t="s">
        <v>384</v>
      </c>
      <c r="B79" s="46" t="s">
        <v>385</v>
      </c>
      <c r="C79" s="26">
        <v>8142</v>
      </c>
      <c r="D79" s="42" t="s">
        <v>386</v>
      </c>
      <c r="E79" s="63" t="s">
        <v>387</v>
      </c>
      <c r="F79" s="30">
        <v>261.72000000000003</v>
      </c>
      <c r="G79" s="61" t="s">
        <v>346</v>
      </c>
      <c r="H79" s="43"/>
      <c r="I79" s="44"/>
      <c r="J79" s="43"/>
      <c r="K79" s="43"/>
      <c r="L79" s="45" t="str">
        <f>IF(Tabela8[[#This Row],[N° SC]]&gt;1,"SIM","NÃO")</f>
        <v>SIM</v>
      </c>
      <c r="M79" s="37" t="s">
        <v>53</v>
      </c>
      <c r="N79" s="37" t="s">
        <v>53</v>
      </c>
      <c r="O79" s="37" t="s">
        <v>53</v>
      </c>
      <c r="P79" s="37" t="s">
        <v>54</v>
      </c>
      <c r="Q79" s="38" t="s">
        <v>383</v>
      </c>
      <c r="R79" s="38" t="s">
        <v>54</v>
      </c>
      <c r="S79" s="38" t="s">
        <v>169</v>
      </c>
      <c r="T79" s="38" t="s">
        <v>125</v>
      </c>
      <c r="U79" s="36" t="s">
        <v>146</v>
      </c>
      <c r="V79" s="36">
        <v>1.71</v>
      </c>
      <c r="W79" s="36">
        <v>1.81</v>
      </c>
      <c r="X79" s="39">
        <f t="shared" si="6"/>
        <v>261.72000000000003</v>
      </c>
      <c r="Y79" s="40">
        <f t="shared" si="5"/>
        <v>51.019999999999996</v>
      </c>
    </row>
    <row r="80" spans="1:25" ht="37.5" customHeight="1" x14ac:dyDescent="0.2">
      <c r="A80" s="26" t="s">
        <v>388</v>
      </c>
      <c r="B80" s="27" t="s">
        <v>389</v>
      </c>
      <c r="C80" s="26">
        <v>7527</v>
      </c>
      <c r="D80" s="42" t="s">
        <v>390</v>
      </c>
      <c r="E80" s="29" t="s">
        <v>391</v>
      </c>
      <c r="F80" s="41">
        <v>323.89999999999998</v>
      </c>
      <c r="G80" s="31" t="s">
        <v>52</v>
      </c>
      <c r="H80" s="44"/>
      <c r="I80" s="31"/>
      <c r="J80" s="44"/>
      <c r="K80" s="31"/>
      <c r="L80" s="51" t="str">
        <f>IF(Tabela8[[#This Row],[N° SC]]&gt;1,"SIM","NÃO")</f>
        <v>SIM</v>
      </c>
      <c r="M80" s="54" t="s">
        <v>53</v>
      </c>
      <c r="N80" s="54" t="s">
        <v>53</v>
      </c>
      <c r="O80" s="54" t="s">
        <v>53</v>
      </c>
      <c r="P80" s="54" t="s">
        <v>54</v>
      </c>
      <c r="Q80" s="38" t="s">
        <v>392</v>
      </c>
      <c r="R80" s="38" t="s">
        <v>54</v>
      </c>
      <c r="S80" s="36" t="s">
        <v>145</v>
      </c>
      <c r="T80" s="36" t="s">
        <v>57</v>
      </c>
      <c r="U80" s="36" t="s">
        <v>146</v>
      </c>
      <c r="V80" s="36"/>
      <c r="W80" s="36"/>
      <c r="X80" s="39">
        <v>323.89999999999998</v>
      </c>
      <c r="Y80" s="40">
        <f t="shared" si="5"/>
        <v>63.14</v>
      </c>
    </row>
    <row r="81" spans="1:25" ht="37.5" customHeight="1" x14ac:dyDescent="0.2">
      <c r="A81" s="28" t="s">
        <v>393</v>
      </c>
      <c r="B81" s="46" t="s">
        <v>394</v>
      </c>
      <c r="C81" s="26">
        <v>8939</v>
      </c>
      <c r="D81" s="42" t="s">
        <v>395</v>
      </c>
      <c r="E81" s="63" t="s">
        <v>396</v>
      </c>
      <c r="F81" s="41">
        <v>789</v>
      </c>
      <c r="G81" s="31" t="s">
        <v>397</v>
      </c>
      <c r="H81" s="41">
        <v>789</v>
      </c>
      <c r="I81" s="31" t="s">
        <v>398</v>
      </c>
      <c r="J81" s="44">
        <v>869</v>
      </c>
      <c r="K81" s="31" t="s">
        <v>399</v>
      </c>
      <c r="L81" s="51" t="str">
        <f>IF(Tabela8[[#This Row],[N° SC]]&gt;1,"SIM","NÃO")</f>
        <v>SIM</v>
      </c>
      <c r="M81" s="37" t="s">
        <v>53</v>
      </c>
      <c r="N81" s="37" t="s">
        <v>53</v>
      </c>
      <c r="O81" s="37" t="s">
        <v>54</v>
      </c>
      <c r="P81" s="37" t="s">
        <v>54</v>
      </c>
      <c r="Q81" s="38" t="s">
        <v>52</v>
      </c>
      <c r="R81" s="38"/>
      <c r="S81" s="38"/>
      <c r="T81" s="38"/>
      <c r="U81" s="36" t="s">
        <v>52</v>
      </c>
      <c r="V81" s="36"/>
      <c r="W81" s="36"/>
      <c r="X81" s="39">
        <f t="shared" ref="X81:X87" si="7">IFERROR(SMALL(F81:J81,1),"-")</f>
        <v>789</v>
      </c>
      <c r="Y81" s="40">
        <f t="shared" si="5"/>
        <v>153.81</v>
      </c>
    </row>
    <row r="82" spans="1:25" ht="37.5" customHeight="1" x14ac:dyDescent="0.2">
      <c r="A82" s="28" t="s">
        <v>400</v>
      </c>
      <c r="B82" s="46" t="s">
        <v>401</v>
      </c>
      <c r="C82" s="26">
        <v>8940</v>
      </c>
      <c r="D82" s="42" t="s">
        <v>402</v>
      </c>
      <c r="E82" s="63" t="s">
        <v>403</v>
      </c>
      <c r="F82" s="41">
        <v>589</v>
      </c>
      <c r="G82" s="31" t="s">
        <v>404</v>
      </c>
      <c r="H82" s="41">
        <v>589</v>
      </c>
      <c r="I82" s="31" t="s">
        <v>405</v>
      </c>
      <c r="J82" s="44">
        <v>629</v>
      </c>
      <c r="K82" s="31" t="s">
        <v>406</v>
      </c>
      <c r="L82" s="51" t="str">
        <f>IF(Tabela8[[#This Row],[N° SC]]&gt;1,"SIM","NÃO")</f>
        <v>SIM</v>
      </c>
      <c r="M82" s="37" t="s">
        <v>53</v>
      </c>
      <c r="N82" s="37" t="s">
        <v>53</v>
      </c>
      <c r="O82" s="37" t="s">
        <v>54</v>
      </c>
      <c r="P82" s="37" t="s">
        <v>54</v>
      </c>
      <c r="Q82" s="38" t="s">
        <v>52</v>
      </c>
      <c r="R82" s="38"/>
      <c r="S82" s="38"/>
      <c r="T82" s="38"/>
      <c r="U82" s="36" t="s">
        <v>52</v>
      </c>
      <c r="V82" s="36"/>
      <c r="W82" s="36"/>
      <c r="X82" s="39">
        <f t="shared" si="7"/>
        <v>589</v>
      </c>
      <c r="Y82" s="40">
        <f t="shared" si="5"/>
        <v>114.82000000000001</v>
      </c>
    </row>
    <row r="83" spans="1:25" ht="37.5" customHeight="1" x14ac:dyDescent="0.2">
      <c r="A83" s="28" t="s">
        <v>407</v>
      </c>
      <c r="B83" s="46" t="s">
        <v>408</v>
      </c>
      <c r="C83" s="26"/>
      <c r="D83" s="42" t="s">
        <v>409</v>
      </c>
      <c r="E83" s="29">
        <v>22181487</v>
      </c>
      <c r="F83" s="30">
        <v>819</v>
      </c>
      <c r="G83" s="31" t="s">
        <v>410</v>
      </c>
      <c r="H83" s="41" t="s">
        <v>52</v>
      </c>
      <c r="I83" s="33" t="s">
        <v>52</v>
      </c>
      <c r="J83" s="32" t="s">
        <v>52</v>
      </c>
      <c r="K83" s="34" t="s">
        <v>52</v>
      </c>
      <c r="L83" s="35" t="str">
        <f>IF(Tabela8[[#This Row],[N° SC]]&gt;1,"SIM","NÃO")</f>
        <v>NÃO</v>
      </c>
      <c r="M83" s="37" t="s">
        <v>54</v>
      </c>
      <c r="N83" s="37" t="s">
        <v>54</v>
      </c>
      <c r="O83" s="37" t="s">
        <v>54</v>
      </c>
      <c r="P83" s="37" t="s">
        <v>54</v>
      </c>
      <c r="Q83" s="38" t="s">
        <v>52</v>
      </c>
      <c r="R83" s="38"/>
      <c r="S83" s="38"/>
      <c r="T83" s="38"/>
      <c r="U83" s="36" t="s">
        <v>52</v>
      </c>
      <c r="V83" s="36"/>
      <c r="W83" s="36"/>
      <c r="X83" s="39">
        <f t="shared" si="7"/>
        <v>819</v>
      </c>
      <c r="Y83" s="40">
        <f t="shared" si="5"/>
        <v>159.64999999999998</v>
      </c>
    </row>
    <row r="84" spans="1:25" ht="37.5" customHeight="1" x14ac:dyDescent="0.2">
      <c r="A84" s="28" t="s">
        <v>411</v>
      </c>
      <c r="B84" s="46" t="s">
        <v>412</v>
      </c>
      <c r="C84" s="26"/>
      <c r="D84" s="42" t="s">
        <v>413</v>
      </c>
      <c r="E84" s="29">
        <v>20726165</v>
      </c>
      <c r="F84" s="41">
        <v>1776.54</v>
      </c>
      <c r="G84" s="47" t="s">
        <v>414</v>
      </c>
      <c r="H84" s="41" t="s">
        <v>52</v>
      </c>
      <c r="I84" s="33" t="s">
        <v>52</v>
      </c>
      <c r="J84" s="32" t="s">
        <v>52</v>
      </c>
      <c r="K84" s="34" t="s">
        <v>52</v>
      </c>
      <c r="L84" s="35" t="str">
        <f>IF(Tabela8[[#This Row],[N° SC]]&gt;1,"SIM","NÃO")</f>
        <v>NÃO</v>
      </c>
      <c r="M84" s="37" t="s">
        <v>54</v>
      </c>
      <c r="N84" s="37" t="s">
        <v>54</v>
      </c>
      <c r="O84" s="37" t="s">
        <v>54</v>
      </c>
      <c r="P84" s="37" t="s">
        <v>54</v>
      </c>
      <c r="Q84" s="38" t="s">
        <v>52</v>
      </c>
      <c r="R84" s="38"/>
      <c r="S84" s="38"/>
      <c r="T84" s="38"/>
      <c r="U84" s="36" t="s">
        <v>52</v>
      </c>
      <c r="V84" s="36"/>
      <c r="W84" s="36"/>
      <c r="X84" s="39">
        <f t="shared" si="7"/>
        <v>1776.54</v>
      </c>
      <c r="Y84" s="40">
        <f t="shared" si="5"/>
        <v>346.31</v>
      </c>
    </row>
    <row r="85" spans="1:25" ht="37.5" customHeight="1" x14ac:dyDescent="0.2">
      <c r="A85" s="28" t="s">
        <v>415</v>
      </c>
      <c r="B85" s="46" t="s">
        <v>416</v>
      </c>
      <c r="C85" s="26"/>
      <c r="D85" s="42" t="s">
        <v>417</v>
      </c>
      <c r="E85" s="29">
        <v>20878633</v>
      </c>
      <c r="F85" s="41">
        <v>1899</v>
      </c>
      <c r="G85" s="31" t="s">
        <v>418</v>
      </c>
      <c r="H85" s="41" t="s">
        <v>52</v>
      </c>
      <c r="I85" s="33" t="s">
        <v>52</v>
      </c>
      <c r="J85" s="32" t="s">
        <v>52</v>
      </c>
      <c r="K85" s="34" t="s">
        <v>52</v>
      </c>
      <c r="L85" s="35" t="str">
        <f>IF(Tabela8[[#This Row],[N° SC]]&gt;1,"SIM","NÃO")</f>
        <v>NÃO</v>
      </c>
      <c r="M85" s="37" t="s">
        <v>54</v>
      </c>
      <c r="N85" s="37" t="s">
        <v>54</v>
      </c>
      <c r="O85" s="37" t="s">
        <v>54</v>
      </c>
      <c r="P85" s="37" t="s">
        <v>54</v>
      </c>
      <c r="Q85" s="38" t="s">
        <v>52</v>
      </c>
      <c r="R85" s="38"/>
      <c r="S85" s="38"/>
      <c r="T85" s="38"/>
      <c r="U85" s="36" t="s">
        <v>52</v>
      </c>
      <c r="V85" s="36"/>
      <c r="W85" s="36"/>
      <c r="X85" s="39">
        <f t="shared" si="7"/>
        <v>1899</v>
      </c>
      <c r="Y85" s="40">
        <f t="shared" si="5"/>
        <v>370.18</v>
      </c>
    </row>
    <row r="86" spans="1:25" ht="37.5" customHeight="1" x14ac:dyDescent="0.2">
      <c r="A86" s="28" t="s">
        <v>419</v>
      </c>
      <c r="B86" s="46" t="s">
        <v>420</v>
      </c>
      <c r="C86" s="26">
        <v>8737</v>
      </c>
      <c r="D86" s="42" t="s">
        <v>421</v>
      </c>
      <c r="E86" s="29">
        <v>45185</v>
      </c>
      <c r="F86" s="41">
        <v>643.19000000000005</v>
      </c>
      <c r="G86" s="31" t="s">
        <v>422</v>
      </c>
      <c r="H86" s="41">
        <v>282.42</v>
      </c>
      <c r="I86" s="31" t="s">
        <v>423</v>
      </c>
      <c r="J86" s="44">
        <v>313.22000000000003</v>
      </c>
      <c r="K86" s="31" t="s">
        <v>424</v>
      </c>
      <c r="L86" s="51" t="str">
        <f>IF(Tabela8[[#This Row],[N° SC]]&gt;1,"SIM","NÃO")</f>
        <v>SIM</v>
      </c>
      <c r="M86" s="37" t="s">
        <v>53</v>
      </c>
      <c r="N86" s="37" t="s">
        <v>53</v>
      </c>
      <c r="O86" s="37" t="s">
        <v>54</v>
      </c>
      <c r="P86" s="37" t="s">
        <v>54</v>
      </c>
      <c r="Q86" s="38" t="s">
        <v>52</v>
      </c>
      <c r="R86" s="38"/>
      <c r="S86" s="38"/>
      <c r="T86" s="38"/>
      <c r="U86" s="36"/>
      <c r="V86" s="36"/>
      <c r="W86" s="36"/>
      <c r="X86" s="39">
        <f>IFERROR(SMALL(F86:J86,1),"-")</f>
        <v>282.42</v>
      </c>
      <c r="Y86" s="40">
        <f>ROUNDUP(X86/$Y$17,2)</f>
        <v>55.059999999999995</v>
      </c>
    </row>
    <row r="87" spans="1:25" ht="37.5" customHeight="1" x14ac:dyDescent="0.2">
      <c r="A87" s="28" t="s">
        <v>425</v>
      </c>
      <c r="B87" s="46" t="s">
        <v>426</v>
      </c>
      <c r="C87" s="26">
        <v>8737</v>
      </c>
      <c r="D87" s="42" t="s">
        <v>427</v>
      </c>
      <c r="E87" s="29" t="s">
        <v>428</v>
      </c>
      <c r="F87" s="41">
        <v>282.42</v>
      </c>
      <c r="G87" s="79" t="s">
        <v>429</v>
      </c>
      <c r="H87" s="41"/>
      <c r="I87" s="31"/>
      <c r="J87" s="44"/>
      <c r="K87" s="31"/>
      <c r="L87" s="51" t="str">
        <f>IF(Tabela8[[#This Row],[N° SC]]&gt;1,"SIM","NÃO")</f>
        <v>SIM</v>
      </c>
      <c r="M87" s="37" t="s">
        <v>53</v>
      </c>
      <c r="N87" s="37" t="s">
        <v>53</v>
      </c>
      <c r="O87" s="37" t="s">
        <v>54</v>
      </c>
      <c r="P87" s="37" t="s">
        <v>54</v>
      </c>
      <c r="Q87" s="38" t="s">
        <v>52</v>
      </c>
      <c r="R87" s="38"/>
      <c r="S87" s="38"/>
      <c r="T87" s="38" t="s">
        <v>96</v>
      </c>
      <c r="U87" s="36" t="s">
        <v>52</v>
      </c>
      <c r="V87" s="36"/>
      <c r="W87" s="36"/>
      <c r="X87" s="39">
        <f t="shared" si="7"/>
        <v>282.42</v>
      </c>
      <c r="Y87" s="40">
        <f t="shared" si="5"/>
        <v>55.059999999999995</v>
      </c>
    </row>
    <row r="88" spans="1:25" ht="37.5" customHeight="1" x14ac:dyDescent="0.2">
      <c r="A88" s="26" t="s">
        <v>430</v>
      </c>
      <c r="B88" s="27" t="s">
        <v>431</v>
      </c>
      <c r="C88" s="26">
        <v>7526</v>
      </c>
      <c r="D88" s="42" t="s">
        <v>432</v>
      </c>
      <c r="E88" s="29" t="s">
        <v>433</v>
      </c>
      <c r="F88" s="41">
        <v>300.60000000000002</v>
      </c>
      <c r="G88" s="31" t="s">
        <v>434</v>
      </c>
      <c r="H88" s="44"/>
      <c r="I88" s="31"/>
      <c r="J88" s="44"/>
      <c r="K88" s="31"/>
      <c r="L88" s="51" t="str">
        <f>IF(Tabela8[[#This Row],[N° SC]]&gt;1,"SIM","NÃO")</f>
        <v>SIM</v>
      </c>
      <c r="M88" s="54" t="s">
        <v>53</v>
      </c>
      <c r="N88" s="54" t="s">
        <v>53</v>
      </c>
      <c r="O88" s="54" t="s">
        <v>53</v>
      </c>
      <c r="P88" s="54" t="s">
        <v>54</v>
      </c>
      <c r="Q88" s="36" t="s">
        <v>144</v>
      </c>
      <c r="R88" s="38" t="s">
        <v>54</v>
      </c>
      <c r="S88" s="36" t="s">
        <v>145</v>
      </c>
      <c r="T88" s="36" t="s">
        <v>57</v>
      </c>
      <c r="U88" s="38" t="s">
        <v>146</v>
      </c>
      <c r="V88" s="38">
        <v>1.64</v>
      </c>
      <c r="W88" s="38">
        <v>1.74</v>
      </c>
      <c r="X88" s="39">
        <v>300.60000000000002</v>
      </c>
      <c r="Y88" s="40">
        <v>57.807692307692307</v>
      </c>
    </row>
    <row r="89" spans="1:25" ht="38.25" customHeight="1" x14ac:dyDescent="0.2">
      <c r="A89" s="26" t="s">
        <v>435</v>
      </c>
      <c r="B89" s="27" t="s">
        <v>436</v>
      </c>
      <c r="C89" s="26">
        <v>7627</v>
      </c>
      <c r="D89" s="28" t="s">
        <v>437</v>
      </c>
      <c r="E89" s="29" t="s">
        <v>438</v>
      </c>
      <c r="F89" s="30">
        <v>1246.29</v>
      </c>
      <c r="G89" s="31" t="s">
        <v>439</v>
      </c>
      <c r="H89" s="44" t="s">
        <v>52</v>
      </c>
      <c r="I89" s="31" t="s">
        <v>52</v>
      </c>
      <c r="J89" s="44" t="s">
        <v>52</v>
      </c>
      <c r="K89" s="31" t="s">
        <v>52</v>
      </c>
      <c r="L89" s="51" t="str">
        <f>IF(Tabela8[[#This Row],[N° SC]]&gt;1,"SIM","NÃO")</f>
        <v>SIM</v>
      </c>
      <c r="M89" s="54" t="s">
        <v>53</v>
      </c>
      <c r="N89" s="54" t="s">
        <v>53</v>
      </c>
      <c r="O89" s="54" t="s">
        <v>53</v>
      </c>
      <c r="P89" s="54" t="s">
        <v>54</v>
      </c>
      <c r="Q89" s="38" t="s">
        <v>144</v>
      </c>
      <c r="R89" s="38" t="s">
        <v>54</v>
      </c>
      <c r="S89" s="36" t="s">
        <v>145</v>
      </c>
      <c r="T89" s="36" t="s">
        <v>57</v>
      </c>
      <c r="U89" s="38" t="s">
        <v>146</v>
      </c>
      <c r="V89" s="38">
        <v>3.82</v>
      </c>
      <c r="W89" s="38">
        <v>4.2</v>
      </c>
      <c r="X89" s="39">
        <v>1246.29</v>
      </c>
      <c r="Y89" s="40">
        <v>239.67115384615383</v>
      </c>
    </row>
    <row r="90" spans="1:25" ht="25.5" customHeight="1" x14ac:dyDescent="0.2">
      <c r="A90" s="26" t="s">
        <v>440</v>
      </c>
      <c r="B90" s="27" t="s">
        <v>441</v>
      </c>
      <c r="C90" s="26">
        <v>7627</v>
      </c>
      <c r="D90" s="28" t="s">
        <v>442</v>
      </c>
      <c r="E90" s="29" t="s">
        <v>443</v>
      </c>
      <c r="F90" s="30">
        <v>695.52</v>
      </c>
      <c r="G90" s="31" t="s">
        <v>439</v>
      </c>
      <c r="H90" s="80" t="s">
        <v>52</v>
      </c>
      <c r="I90" s="81" t="s">
        <v>52</v>
      </c>
      <c r="J90" s="80" t="s">
        <v>52</v>
      </c>
      <c r="K90" s="81" t="s">
        <v>52</v>
      </c>
      <c r="L90" s="51" t="str">
        <f>IF(Tabela8[[#This Row],[N° SC]]&gt;1,"SIM","NÃO")</f>
        <v>SIM</v>
      </c>
      <c r="M90" s="54" t="s">
        <v>53</v>
      </c>
      <c r="N90" s="54" t="s">
        <v>53</v>
      </c>
      <c r="O90" s="54" t="s">
        <v>53</v>
      </c>
      <c r="P90" s="54" t="s">
        <v>54</v>
      </c>
      <c r="Q90" s="36" t="s">
        <v>144</v>
      </c>
      <c r="R90" s="38" t="s">
        <v>54</v>
      </c>
      <c r="S90" s="36" t="s">
        <v>145</v>
      </c>
      <c r="T90" s="36" t="s">
        <v>57</v>
      </c>
      <c r="U90" s="38" t="s">
        <v>146</v>
      </c>
      <c r="V90" s="38">
        <v>2.02</v>
      </c>
      <c r="W90" s="38">
        <v>2.21</v>
      </c>
      <c r="X90" s="39">
        <v>695.52</v>
      </c>
      <c r="Y90" s="40">
        <v>133.75384615384615</v>
      </c>
    </row>
    <row r="91" spans="1:25" ht="25.5" customHeight="1" x14ac:dyDescent="0.2">
      <c r="A91" s="82" t="s">
        <v>444</v>
      </c>
      <c r="B91" s="83" t="s">
        <v>445</v>
      </c>
      <c r="C91" s="26">
        <v>8145</v>
      </c>
      <c r="D91" s="84" t="s">
        <v>446</v>
      </c>
      <c r="E91" s="85" t="s">
        <v>447</v>
      </c>
      <c r="F91" s="30">
        <v>992.63</v>
      </c>
      <c r="G91" s="86" t="s">
        <v>448</v>
      </c>
      <c r="H91" s="60"/>
      <c r="I91" s="87"/>
      <c r="J91" s="87"/>
      <c r="K91" s="87"/>
      <c r="L91" s="45" t="str">
        <f>IF(Tabela8[[#This Row],[N° SC]]&gt;1,"SIM","NÃO")</f>
        <v>SIM</v>
      </c>
      <c r="M91" s="37" t="s">
        <v>53</v>
      </c>
      <c r="N91" s="37" t="s">
        <v>53</v>
      </c>
      <c r="O91" s="37" t="s">
        <v>53</v>
      </c>
      <c r="P91" s="37" t="s">
        <v>54</v>
      </c>
      <c r="Q91" s="38" t="s">
        <v>383</v>
      </c>
      <c r="R91" s="38" t="s">
        <v>54</v>
      </c>
      <c r="S91" s="38" t="s">
        <v>169</v>
      </c>
      <c r="T91" s="38" t="s">
        <v>125</v>
      </c>
      <c r="U91" s="36" t="s">
        <v>146</v>
      </c>
      <c r="V91" s="88">
        <v>5.09</v>
      </c>
      <c r="W91" s="36">
        <v>5.6</v>
      </c>
      <c r="X91" s="89">
        <f>IFERROR(SMALL(F91:J91,1),"-")</f>
        <v>992.63</v>
      </c>
      <c r="Y91" s="90">
        <f t="shared" ref="Y91:Y117" si="8">ROUNDUP(X91/$Y$17,2)</f>
        <v>193.5</v>
      </c>
    </row>
    <row r="92" spans="1:25" ht="25.5" x14ac:dyDescent="0.2">
      <c r="A92" s="82" t="s">
        <v>449</v>
      </c>
      <c r="B92" s="83" t="s">
        <v>450</v>
      </c>
      <c r="C92" s="26">
        <v>8145</v>
      </c>
      <c r="D92" s="84" t="s">
        <v>451</v>
      </c>
      <c r="E92" s="85" t="s">
        <v>452</v>
      </c>
      <c r="F92" s="30">
        <v>1010.54</v>
      </c>
      <c r="G92" s="86" t="s">
        <v>448</v>
      </c>
      <c r="H92" s="30"/>
      <c r="I92" s="59"/>
      <c r="J92" s="60"/>
      <c r="K92" s="60"/>
      <c r="L92" s="45" t="str">
        <f>IF(Tabela8[[#This Row],[N° SC]]&gt;1,"SIM","NÃO")</f>
        <v>SIM</v>
      </c>
      <c r="M92" s="37" t="s">
        <v>53</v>
      </c>
      <c r="N92" s="37" t="s">
        <v>53</v>
      </c>
      <c r="O92" s="37" t="s">
        <v>53</v>
      </c>
      <c r="P92" s="37" t="s">
        <v>54</v>
      </c>
      <c r="Q92" s="38" t="s">
        <v>168</v>
      </c>
      <c r="R92" s="38" t="s">
        <v>54</v>
      </c>
      <c r="S92" s="38" t="s">
        <v>169</v>
      </c>
      <c r="T92" s="38" t="s">
        <v>125</v>
      </c>
      <c r="U92" s="36" t="s">
        <v>146</v>
      </c>
      <c r="V92" s="36">
        <v>5.41</v>
      </c>
      <c r="W92" s="36">
        <v>6.1</v>
      </c>
      <c r="X92" s="89">
        <f>IFERROR(SMALL(F92:J92,1),"-")</f>
        <v>1010.54</v>
      </c>
      <c r="Y92" s="90">
        <f t="shared" si="8"/>
        <v>196.98999999999998</v>
      </c>
    </row>
    <row r="93" spans="1:25" ht="25.5" x14ac:dyDescent="0.2">
      <c r="A93" s="91" t="s">
        <v>453</v>
      </c>
      <c r="B93" s="92" t="s">
        <v>454</v>
      </c>
      <c r="C93" s="26">
        <v>8365</v>
      </c>
      <c r="D93" s="93" t="s">
        <v>455</v>
      </c>
      <c r="E93" s="85" t="s">
        <v>456</v>
      </c>
      <c r="F93" s="30">
        <v>1693.72</v>
      </c>
      <c r="G93" s="81" t="s">
        <v>448</v>
      </c>
      <c r="H93" s="30" t="s">
        <v>52</v>
      </c>
      <c r="I93" s="94" t="s">
        <v>52</v>
      </c>
      <c r="J93" s="80" t="s">
        <v>52</v>
      </c>
      <c r="K93" s="94" t="s">
        <v>52</v>
      </c>
      <c r="L93" s="45" t="str">
        <f>IF(Tabela8[[#This Row],[N° SC]]&gt;1,"SIM","NÃO")</f>
        <v>SIM</v>
      </c>
      <c r="M93" s="36" t="s">
        <v>53</v>
      </c>
      <c r="N93" s="37" t="s">
        <v>53</v>
      </c>
      <c r="O93" s="37" t="s">
        <v>53</v>
      </c>
      <c r="P93" s="37" t="s">
        <v>54</v>
      </c>
      <c r="Q93" s="95" t="s">
        <v>272</v>
      </c>
      <c r="R93" s="38" t="s">
        <v>53</v>
      </c>
      <c r="S93" s="95" t="s">
        <v>124</v>
      </c>
      <c r="T93" s="38" t="s">
        <v>125</v>
      </c>
      <c r="U93" s="88" t="s">
        <v>52</v>
      </c>
      <c r="V93" s="95">
        <v>9.75</v>
      </c>
      <c r="W93" s="95">
        <v>10</v>
      </c>
      <c r="X93" s="89">
        <f>IFERROR(SMALL(F93:J93,1),"-")</f>
        <v>1693.72</v>
      </c>
      <c r="Y93" s="90">
        <f t="shared" si="8"/>
        <v>330.15999999999997</v>
      </c>
    </row>
    <row r="94" spans="1:25" ht="38.25" customHeight="1" x14ac:dyDescent="0.2">
      <c r="A94" s="91" t="s">
        <v>457</v>
      </c>
      <c r="B94" s="92" t="s">
        <v>458</v>
      </c>
      <c r="C94" s="26">
        <v>8365</v>
      </c>
      <c r="D94" s="93" t="s">
        <v>459</v>
      </c>
      <c r="E94" s="85" t="s">
        <v>460</v>
      </c>
      <c r="F94" s="30">
        <v>777.91</v>
      </c>
      <c r="G94" s="81" t="s">
        <v>448</v>
      </c>
      <c r="H94" s="30" t="s">
        <v>52</v>
      </c>
      <c r="I94" s="43" t="s">
        <v>52</v>
      </c>
      <c r="J94" s="44" t="s">
        <v>52</v>
      </c>
      <c r="K94" s="43" t="s">
        <v>52</v>
      </c>
      <c r="L94" s="45" t="str">
        <f>IF(Tabela8[[#This Row],[N° SC]]&gt;1,"SIM","NÃO")</f>
        <v>SIM</v>
      </c>
      <c r="M94" s="36" t="s">
        <v>53</v>
      </c>
      <c r="N94" s="37" t="s">
        <v>53</v>
      </c>
      <c r="O94" s="37" t="s">
        <v>53</v>
      </c>
      <c r="P94" s="37" t="s">
        <v>54</v>
      </c>
      <c r="Q94" s="38" t="s">
        <v>173</v>
      </c>
      <c r="R94" s="38" t="s">
        <v>53</v>
      </c>
      <c r="S94" s="38" t="s">
        <v>124</v>
      </c>
      <c r="T94" s="38" t="s">
        <v>125</v>
      </c>
      <c r="U94" s="36" t="s">
        <v>52</v>
      </c>
      <c r="V94" s="38">
        <v>3</v>
      </c>
      <c r="W94" s="38">
        <v>3.5</v>
      </c>
      <c r="X94" s="39">
        <f>IFERROR(SMALL(F94:J94,1),"-")</f>
        <v>777.91</v>
      </c>
      <c r="Y94" s="40">
        <f t="shared" si="8"/>
        <v>151.63999999999999</v>
      </c>
    </row>
    <row r="95" spans="1:25" ht="38.25" customHeight="1" x14ac:dyDescent="0.2">
      <c r="A95" s="91" t="s">
        <v>461</v>
      </c>
      <c r="B95" s="92" t="s">
        <v>462</v>
      </c>
      <c r="C95" s="26">
        <v>7630</v>
      </c>
      <c r="D95" s="93" t="s">
        <v>463</v>
      </c>
      <c r="E95" s="85" t="s">
        <v>464</v>
      </c>
      <c r="F95" s="41">
        <v>705.02499999999998</v>
      </c>
      <c r="G95" s="81" t="s">
        <v>448</v>
      </c>
      <c r="H95" s="32" t="s">
        <v>52</v>
      </c>
      <c r="I95" s="96" t="s">
        <v>52</v>
      </c>
      <c r="J95" s="97" t="s">
        <v>52</v>
      </c>
      <c r="K95" s="98" t="s">
        <v>52</v>
      </c>
      <c r="L95" s="35" t="str">
        <f>IF(Tabela8[[#This Row],[N° SC]]&gt;1,"SIM","NÃO")</f>
        <v>SIM</v>
      </c>
      <c r="M95" s="36" t="s">
        <v>53</v>
      </c>
      <c r="N95" s="54" t="s">
        <v>53</v>
      </c>
      <c r="O95" s="36" t="s">
        <v>53</v>
      </c>
      <c r="P95" s="37" t="s">
        <v>54</v>
      </c>
      <c r="Q95" s="38" t="s">
        <v>55</v>
      </c>
      <c r="R95" s="38" t="s">
        <v>54</v>
      </c>
      <c r="S95" s="36" t="s">
        <v>56</v>
      </c>
      <c r="T95" s="36" t="s">
        <v>57</v>
      </c>
      <c r="U95" s="36" t="s">
        <v>52</v>
      </c>
      <c r="V95" s="88">
        <v>2.9</v>
      </c>
      <c r="W95" s="88">
        <v>3.5</v>
      </c>
      <c r="X95" s="89">
        <v>705.02499999999998</v>
      </c>
      <c r="Y95" s="90">
        <f t="shared" si="8"/>
        <v>137.44</v>
      </c>
    </row>
    <row r="96" spans="1:25" ht="25.5" customHeight="1" x14ac:dyDescent="0.2">
      <c r="A96" s="91" t="s">
        <v>465</v>
      </c>
      <c r="B96" s="92" t="s">
        <v>466</v>
      </c>
      <c r="C96" s="26">
        <v>7629</v>
      </c>
      <c r="D96" s="93" t="s">
        <v>467</v>
      </c>
      <c r="E96" s="85" t="s">
        <v>468</v>
      </c>
      <c r="F96" s="41">
        <v>3150.15</v>
      </c>
      <c r="G96" s="81" t="s">
        <v>448</v>
      </c>
      <c r="H96" s="32">
        <v>642.88</v>
      </c>
      <c r="I96" s="96"/>
      <c r="J96" s="97" t="s">
        <v>52</v>
      </c>
      <c r="K96" s="98" t="s">
        <v>52</v>
      </c>
      <c r="L96" s="35" t="str">
        <f>IF(Tabela8[[#This Row],[N° SC]]&gt;1,"SIM","NÃO")</f>
        <v>SIM</v>
      </c>
      <c r="M96" s="36" t="s">
        <v>53</v>
      </c>
      <c r="N96" s="54" t="s">
        <v>53</v>
      </c>
      <c r="O96" s="36" t="s">
        <v>53</v>
      </c>
      <c r="P96" s="37" t="s">
        <v>54</v>
      </c>
      <c r="Q96" s="38" t="s">
        <v>55</v>
      </c>
      <c r="R96" s="38" t="s">
        <v>54</v>
      </c>
      <c r="S96" s="36" t="s">
        <v>56</v>
      </c>
      <c r="T96" s="36" t="s">
        <v>57</v>
      </c>
      <c r="U96" s="36" t="s">
        <v>52</v>
      </c>
      <c r="V96" s="88">
        <v>7.84</v>
      </c>
      <c r="W96" s="88">
        <v>8.44</v>
      </c>
      <c r="X96" s="89">
        <v>642.88</v>
      </c>
      <c r="Y96" s="90">
        <f t="shared" si="8"/>
        <v>125.32000000000001</v>
      </c>
    </row>
    <row r="97" spans="1:25" ht="51" x14ac:dyDescent="0.2">
      <c r="A97" s="91" t="s">
        <v>469</v>
      </c>
      <c r="B97" s="92" t="s">
        <v>470</v>
      </c>
      <c r="C97" s="26">
        <v>8842</v>
      </c>
      <c r="D97" s="93" t="s">
        <v>471</v>
      </c>
      <c r="E97" s="85" t="s">
        <v>472</v>
      </c>
      <c r="F97" s="41">
        <v>254.71</v>
      </c>
      <c r="G97" s="99" t="s">
        <v>473</v>
      </c>
      <c r="H97" s="32"/>
      <c r="I97" s="96"/>
      <c r="J97" s="97"/>
      <c r="K97" s="98"/>
      <c r="L97" s="35" t="str">
        <f>IF(Tabela8[[#This Row],[N° SC]]&gt;1,"SIM","NÃO")</f>
        <v>SIM</v>
      </c>
      <c r="M97" s="36" t="s">
        <v>53</v>
      </c>
      <c r="N97" s="36" t="s">
        <v>54</v>
      </c>
      <c r="O97" s="36" t="s">
        <v>54</v>
      </c>
      <c r="P97" s="37" t="s">
        <v>54</v>
      </c>
      <c r="Q97" s="38" t="s">
        <v>52</v>
      </c>
      <c r="R97" s="95"/>
      <c r="S97" s="38"/>
      <c r="T97" s="36"/>
      <c r="U97" s="36"/>
      <c r="V97" s="88">
        <v>3.02</v>
      </c>
      <c r="W97" s="88">
        <v>3.52</v>
      </c>
      <c r="X97" s="89">
        <f t="shared" ref="X97:X117" si="9">IFERROR(SMALL(F97:J97,1),"-")</f>
        <v>254.71</v>
      </c>
      <c r="Y97" s="90">
        <f t="shared" si="8"/>
        <v>49.66</v>
      </c>
    </row>
    <row r="98" spans="1:25" ht="38.25" x14ac:dyDescent="0.2">
      <c r="A98" s="82" t="s">
        <v>474</v>
      </c>
      <c r="B98" s="83" t="s">
        <v>475</v>
      </c>
      <c r="C98" s="91">
        <v>9140</v>
      </c>
      <c r="D98" s="84" t="s">
        <v>476</v>
      </c>
      <c r="E98" s="85">
        <v>31429956</v>
      </c>
      <c r="F98" s="41"/>
      <c r="G98" s="86"/>
      <c r="H98" s="32"/>
      <c r="I98" s="87"/>
      <c r="J98" s="87"/>
      <c r="K98" s="87"/>
      <c r="L98" s="92" t="str">
        <f>IF(Tabela8[[#This Row],[N° SC]]&gt;1,"SIM","NÃO")</f>
        <v>SIM</v>
      </c>
      <c r="M98" s="36" t="s">
        <v>54</v>
      </c>
      <c r="N98" s="36" t="s">
        <v>54</v>
      </c>
      <c r="O98" s="36" t="s">
        <v>54</v>
      </c>
      <c r="P98" s="36" t="s">
        <v>54</v>
      </c>
      <c r="Q98" s="88" t="s">
        <v>52</v>
      </c>
      <c r="R98" s="95"/>
      <c r="S98" s="95"/>
      <c r="T98" s="88"/>
      <c r="U98" s="95"/>
      <c r="V98" s="88"/>
      <c r="W98" s="88"/>
      <c r="X98" s="89" t="str">
        <f t="shared" si="9"/>
        <v>-</v>
      </c>
      <c r="Y98" s="90" t="e">
        <f t="shared" si="8"/>
        <v>#VALUE!</v>
      </c>
    </row>
    <row r="99" spans="1:25" ht="38.25" x14ac:dyDescent="0.2">
      <c r="A99" s="55" t="s">
        <v>477</v>
      </c>
      <c r="B99" s="56" t="s">
        <v>478</v>
      </c>
      <c r="C99" s="26">
        <v>9084</v>
      </c>
      <c r="D99" s="57" t="s">
        <v>479</v>
      </c>
      <c r="E99" s="29" t="s">
        <v>480</v>
      </c>
      <c r="F99" s="41">
        <v>378.6</v>
      </c>
      <c r="G99" s="48" t="s">
        <v>52</v>
      </c>
      <c r="H99" s="32"/>
      <c r="I99" s="87"/>
      <c r="J99" s="87"/>
      <c r="K99" s="87"/>
      <c r="L99" s="27" t="str">
        <f>IF(Tabela8[[#This Row],[N° SC]]&gt;1,"SIM","NÃO")</f>
        <v>SIM</v>
      </c>
      <c r="M99" s="36" t="s">
        <v>53</v>
      </c>
      <c r="N99" s="36" t="s">
        <v>53</v>
      </c>
      <c r="O99" s="36" t="s">
        <v>53</v>
      </c>
      <c r="P99" s="36" t="s">
        <v>53</v>
      </c>
      <c r="Q99" s="36" t="s">
        <v>214</v>
      </c>
      <c r="R99" s="38"/>
      <c r="S99" s="38" t="s">
        <v>215</v>
      </c>
      <c r="T99" s="36" t="s">
        <v>125</v>
      </c>
      <c r="U99" s="38"/>
      <c r="V99" s="36">
        <v>3.45</v>
      </c>
      <c r="W99" s="36">
        <v>4.25</v>
      </c>
      <c r="X99" s="39">
        <f t="shared" si="9"/>
        <v>378.6</v>
      </c>
      <c r="Y99" s="40">
        <f t="shared" si="8"/>
        <v>73.81</v>
      </c>
    </row>
    <row r="100" spans="1:25" ht="25.5" x14ac:dyDescent="0.2">
      <c r="A100" s="55" t="s">
        <v>481</v>
      </c>
      <c r="B100" s="56" t="s">
        <v>482</v>
      </c>
      <c r="C100" s="26">
        <v>9330</v>
      </c>
      <c r="D100" s="57" t="s">
        <v>483</v>
      </c>
      <c r="E100" s="29" t="s">
        <v>484</v>
      </c>
      <c r="F100" s="41">
        <v>650</v>
      </c>
      <c r="G100" s="48" t="s">
        <v>485</v>
      </c>
      <c r="H100" s="32"/>
      <c r="I100" s="87"/>
      <c r="J100" s="87"/>
      <c r="K100" s="87"/>
      <c r="L100" s="27" t="str">
        <f>IF(Tabela8[[#This Row],[N° SC]]&gt;1,"SIM","NÃO")</f>
        <v>SIM</v>
      </c>
      <c r="M100" s="36" t="s">
        <v>54</v>
      </c>
      <c r="N100" s="36" t="s">
        <v>54</v>
      </c>
      <c r="O100" s="36" t="s">
        <v>54</v>
      </c>
      <c r="P100" s="36" t="s">
        <v>54</v>
      </c>
      <c r="Q100" s="36"/>
      <c r="R100" s="38"/>
      <c r="S100" s="38"/>
      <c r="T100" s="36"/>
      <c r="U100" s="38"/>
      <c r="V100" s="36"/>
      <c r="W100" s="36"/>
      <c r="X100" s="39">
        <f t="shared" si="9"/>
        <v>650</v>
      </c>
      <c r="Y100" s="40">
        <f t="shared" si="8"/>
        <v>126.71000000000001</v>
      </c>
    </row>
    <row r="101" spans="1:25" ht="38.25" x14ac:dyDescent="0.2">
      <c r="A101" s="55" t="s">
        <v>486</v>
      </c>
      <c r="B101" s="56" t="s">
        <v>487</v>
      </c>
      <c r="C101" s="26" t="s">
        <v>52</v>
      </c>
      <c r="D101" s="57" t="s">
        <v>488</v>
      </c>
      <c r="E101" s="29" t="s">
        <v>489</v>
      </c>
      <c r="F101" s="41">
        <v>340</v>
      </c>
      <c r="G101" s="48" t="s">
        <v>485</v>
      </c>
      <c r="H101" s="32"/>
      <c r="I101" s="87"/>
      <c r="J101" s="87"/>
      <c r="K101" s="87"/>
      <c r="L101" s="27" t="str">
        <f>IF(Tabela8[[#This Row],[N° SC]]&gt;1,"SIM","NÃO")</f>
        <v>SIM</v>
      </c>
      <c r="M101" s="36" t="s">
        <v>54</v>
      </c>
      <c r="N101" s="36" t="s">
        <v>54</v>
      </c>
      <c r="O101" s="36" t="s">
        <v>54</v>
      </c>
      <c r="P101" s="36" t="s">
        <v>54</v>
      </c>
      <c r="Q101" s="36"/>
      <c r="R101" s="38"/>
      <c r="S101" s="38"/>
      <c r="T101" s="36"/>
      <c r="U101" s="38"/>
      <c r="V101" s="36"/>
      <c r="W101" s="36"/>
      <c r="X101" s="39">
        <f t="shared" si="9"/>
        <v>340</v>
      </c>
      <c r="Y101" s="40">
        <f t="shared" si="8"/>
        <v>66.28</v>
      </c>
    </row>
    <row r="102" spans="1:25" ht="25.5" x14ac:dyDescent="0.2">
      <c r="A102" s="55" t="s">
        <v>490</v>
      </c>
      <c r="B102" s="56" t="s">
        <v>491</v>
      </c>
      <c r="C102" s="26">
        <v>9391</v>
      </c>
      <c r="D102" s="57" t="s">
        <v>492</v>
      </c>
      <c r="E102" s="29" t="s">
        <v>493</v>
      </c>
      <c r="F102" s="41">
        <v>689</v>
      </c>
      <c r="G102" s="48" t="s">
        <v>485</v>
      </c>
      <c r="H102" s="32"/>
      <c r="I102" s="60"/>
      <c r="J102" s="60"/>
      <c r="K102" s="60"/>
      <c r="L102" s="27" t="str">
        <f>IF(Tabela8[[#This Row],[N° SC]]&gt;1,"SIM","NÃO")</f>
        <v>SIM</v>
      </c>
      <c r="M102" s="36" t="s">
        <v>54</v>
      </c>
      <c r="N102" s="37" t="s">
        <v>54</v>
      </c>
      <c r="O102" s="37" t="s">
        <v>54</v>
      </c>
      <c r="P102" s="37" t="s">
        <v>54</v>
      </c>
      <c r="Q102" s="36"/>
      <c r="R102" s="38"/>
      <c r="S102" s="38"/>
      <c r="T102" s="36"/>
      <c r="U102" s="38"/>
      <c r="V102" s="36"/>
      <c r="W102" s="36"/>
      <c r="X102" s="39">
        <f t="shared" si="9"/>
        <v>689</v>
      </c>
      <c r="Y102" s="40">
        <f t="shared" si="8"/>
        <v>134.31</v>
      </c>
    </row>
    <row r="103" spans="1:25" ht="38.25" x14ac:dyDescent="0.2">
      <c r="A103" s="55" t="s">
        <v>494</v>
      </c>
      <c r="B103" s="56" t="s">
        <v>495</v>
      </c>
      <c r="C103" s="26">
        <v>9392</v>
      </c>
      <c r="D103" s="57" t="s">
        <v>496</v>
      </c>
      <c r="E103" s="29" t="s">
        <v>497</v>
      </c>
      <c r="F103" s="41">
        <v>689</v>
      </c>
      <c r="G103" s="48" t="s">
        <v>485</v>
      </c>
      <c r="H103" s="32"/>
      <c r="I103" s="60"/>
      <c r="J103" s="60"/>
      <c r="K103" s="60"/>
      <c r="L103" s="27" t="str">
        <f>IF(C103&gt;1,"SIM","NÃO")</f>
        <v>SIM</v>
      </c>
      <c r="M103" s="36" t="s">
        <v>54</v>
      </c>
      <c r="N103" s="37" t="s">
        <v>54</v>
      </c>
      <c r="O103" s="37" t="s">
        <v>54</v>
      </c>
      <c r="P103" s="37" t="s">
        <v>54</v>
      </c>
      <c r="Q103" s="36"/>
      <c r="R103" s="38"/>
      <c r="S103" s="38"/>
      <c r="T103" s="36"/>
      <c r="U103" s="38"/>
      <c r="V103" s="36"/>
      <c r="W103" s="36"/>
      <c r="X103" s="39">
        <f t="shared" si="9"/>
        <v>689</v>
      </c>
      <c r="Y103" s="40">
        <f t="shared" si="8"/>
        <v>134.31</v>
      </c>
    </row>
    <row r="104" spans="1:25" ht="25.5" x14ac:dyDescent="0.2">
      <c r="A104" s="55" t="s">
        <v>498</v>
      </c>
      <c r="B104" s="56" t="s">
        <v>499</v>
      </c>
      <c r="C104" s="26" t="s">
        <v>52</v>
      </c>
      <c r="D104" s="57" t="s">
        <v>500</v>
      </c>
      <c r="E104" s="29" t="s">
        <v>501</v>
      </c>
      <c r="F104" s="41">
        <v>965.99</v>
      </c>
      <c r="G104" s="59" t="s">
        <v>502</v>
      </c>
      <c r="H104" s="32">
        <v>1190</v>
      </c>
      <c r="I104" s="59" t="s">
        <v>503</v>
      </c>
      <c r="J104" s="60" t="s">
        <v>52</v>
      </c>
      <c r="K104" s="60" t="s">
        <v>52</v>
      </c>
      <c r="L104" s="27" t="str">
        <f>IF(Tabela8[[#This Row],[N° SC]]&gt;1,"SIM","NÃO")</f>
        <v>SIM</v>
      </c>
      <c r="M104" s="36" t="s">
        <v>54</v>
      </c>
      <c r="N104" s="37" t="s">
        <v>54</v>
      </c>
      <c r="O104" s="37" t="s">
        <v>54</v>
      </c>
      <c r="P104" s="37" t="s">
        <v>54</v>
      </c>
      <c r="Q104" s="36"/>
      <c r="R104" s="38"/>
      <c r="S104" s="38"/>
      <c r="T104" s="36"/>
      <c r="U104" s="38"/>
      <c r="V104" s="36"/>
      <c r="W104" s="36"/>
      <c r="X104" s="39">
        <f t="shared" si="9"/>
        <v>965.99</v>
      </c>
      <c r="Y104" s="40">
        <f t="shared" si="8"/>
        <v>188.31</v>
      </c>
    </row>
    <row r="105" spans="1:25" ht="25.5" x14ac:dyDescent="0.2">
      <c r="A105" s="55" t="s">
        <v>504</v>
      </c>
      <c r="B105" s="56" t="s">
        <v>505</v>
      </c>
      <c r="C105" s="26">
        <v>9393</v>
      </c>
      <c r="D105" s="57" t="s">
        <v>506</v>
      </c>
      <c r="E105" s="29" t="s">
        <v>507</v>
      </c>
      <c r="F105" s="41">
        <v>812.2</v>
      </c>
      <c r="G105" s="48" t="s">
        <v>448</v>
      </c>
      <c r="H105" s="60"/>
      <c r="I105" s="60"/>
      <c r="J105" s="60"/>
      <c r="K105" s="60"/>
      <c r="L105" s="27" t="str">
        <f>IF(Tabela8[[#This Row],[N° SC]]&gt;1,"SIM","NÃO")</f>
        <v>SIM</v>
      </c>
      <c r="M105" s="36" t="s">
        <v>53</v>
      </c>
      <c r="N105" s="37" t="s">
        <v>53</v>
      </c>
      <c r="O105" s="37" t="s">
        <v>54</v>
      </c>
      <c r="P105" s="37" t="s">
        <v>53</v>
      </c>
      <c r="Q105" s="36"/>
      <c r="R105" s="38"/>
      <c r="S105" s="38" t="s">
        <v>508</v>
      </c>
      <c r="T105" s="36" t="s">
        <v>125</v>
      </c>
      <c r="U105" s="38"/>
      <c r="V105" s="36">
        <v>2.8</v>
      </c>
      <c r="W105" s="36">
        <v>3.6</v>
      </c>
      <c r="X105" s="39">
        <f t="shared" si="9"/>
        <v>812.2</v>
      </c>
      <c r="Y105" s="40">
        <f t="shared" si="8"/>
        <v>158.32999999999998</v>
      </c>
    </row>
    <row r="106" spans="1:25" ht="25.5" x14ac:dyDescent="0.2">
      <c r="A106" s="55" t="s">
        <v>509</v>
      </c>
      <c r="B106" s="56" t="s">
        <v>510</v>
      </c>
      <c r="C106" s="26">
        <v>9394</v>
      </c>
      <c r="D106" s="57" t="s">
        <v>511</v>
      </c>
      <c r="E106" s="29" t="s">
        <v>512</v>
      </c>
      <c r="F106" s="41">
        <v>587.72</v>
      </c>
      <c r="G106" s="48" t="s">
        <v>448</v>
      </c>
      <c r="H106" s="60"/>
      <c r="I106" s="60"/>
      <c r="J106" s="60"/>
      <c r="K106" s="60"/>
      <c r="L106" s="27" t="str">
        <f>IF(Tabela8[[#This Row],[N° SC]]&gt;1,"SIM","NÃO")</f>
        <v>SIM</v>
      </c>
      <c r="M106" s="36" t="s">
        <v>53</v>
      </c>
      <c r="N106" s="37" t="s">
        <v>53</v>
      </c>
      <c r="O106" s="37" t="s">
        <v>54</v>
      </c>
      <c r="P106" s="37" t="s">
        <v>53</v>
      </c>
      <c r="Q106" s="36"/>
      <c r="R106" s="38"/>
      <c r="S106" s="38" t="s">
        <v>508</v>
      </c>
      <c r="T106" s="36" t="s">
        <v>125</v>
      </c>
      <c r="U106" s="38"/>
      <c r="V106" s="36">
        <v>2.6</v>
      </c>
      <c r="W106" s="36">
        <v>3.4</v>
      </c>
      <c r="X106" s="39">
        <f t="shared" si="9"/>
        <v>587.72</v>
      </c>
      <c r="Y106" s="40">
        <f t="shared" si="8"/>
        <v>114.57000000000001</v>
      </c>
    </row>
    <row r="107" spans="1:25" ht="25.5" x14ac:dyDescent="0.2">
      <c r="A107" s="55" t="s">
        <v>513</v>
      </c>
      <c r="B107" s="56" t="s">
        <v>514</v>
      </c>
      <c r="C107" s="26" t="s">
        <v>52</v>
      </c>
      <c r="D107" s="57" t="s">
        <v>515</v>
      </c>
      <c r="E107" s="29" t="s">
        <v>52</v>
      </c>
      <c r="F107" s="41">
        <v>1100</v>
      </c>
      <c r="G107" s="31" t="s">
        <v>516</v>
      </c>
      <c r="H107" s="60"/>
      <c r="I107" s="60"/>
      <c r="J107" s="60"/>
      <c r="K107" s="60"/>
      <c r="L107" s="27" t="str">
        <f>IF(Tabela8[[#This Row],[N° SC]]&gt;1,"SIM","NÃO")</f>
        <v>SIM</v>
      </c>
      <c r="M107" s="36" t="s">
        <v>54</v>
      </c>
      <c r="N107" s="37" t="s">
        <v>54</v>
      </c>
      <c r="O107" s="37" t="s">
        <v>54</v>
      </c>
      <c r="P107" s="37" t="s">
        <v>54</v>
      </c>
      <c r="Q107" s="36"/>
      <c r="R107" s="38"/>
      <c r="S107" s="38"/>
      <c r="T107" s="36"/>
      <c r="U107" s="38"/>
      <c r="V107" s="36"/>
      <c r="W107" s="36"/>
      <c r="X107" s="39">
        <f t="shared" si="9"/>
        <v>1100</v>
      </c>
      <c r="Y107" s="40">
        <f t="shared" si="8"/>
        <v>214.42999999999998</v>
      </c>
    </row>
    <row r="108" spans="1:25" ht="38.25" x14ac:dyDescent="0.2">
      <c r="A108" s="82" t="s">
        <v>517</v>
      </c>
      <c r="B108" s="83" t="s">
        <v>518</v>
      </c>
      <c r="C108" s="91" t="s">
        <v>52</v>
      </c>
      <c r="D108" s="84" t="s">
        <v>519</v>
      </c>
      <c r="E108" s="85" t="s">
        <v>52</v>
      </c>
      <c r="F108" s="100">
        <v>504</v>
      </c>
      <c r="G108" s="81" t="s">
        <v>516</v>
      </c>
      <c r="H108" s="87"/>
      <c r="I108" s="87"/>
      <c r="J108" s="87"/>
      <c r="K108" s="87"/>
      <c r="L108" s="92" t="str">
        <f>IF(Tabela8[[#This Row],[N° SC]]&gt;1,"SIM","NÃO")</f>
        <v>SIM</v>
      </c>
      <c r="M108" s="88" t="s">
        <v>54</v>
      </c>
      <c r="N108" s="101" t="s">
        <v>54</v>
      </c>
      <c r="O108" s="101" t="s">
        <v>54</v>
      </c>
      <c r="P108" s="101" t="s">
        <v>54</v>
      </c>
      <c r="Q108" s="88"/>
      <c r="R108" s="95"/>
      <c r="S108" s="95"/>
      <c r="T108" s="88"/>
      <c r="U108" s="95"/>
      <c r="V108" s="88"/>
      <c r="W108" s="88"/>
      <c r="X108" s="89">
        <f t="shared" si="9"/>
        <v>504</v>
      </c>
      <c r="Y108" s="90">
        <f t="shared" si="8"/>
        <v>98.25</v>
      </c>
    </row>
    <row r="109" spans="1:25" ht="38.25" x14ac:dyDescent="0.2">
      <c r="A109" s="55" t="s">
        <v>520</v>
      </c>
      <c r="B109" s="56" t="s">
        <v>521</v>
      </c>
      <c r="C109" s="26">
        <v>9395</v>
      </c>
      <c r="D109" s="57" t="s">
        <v>522</v>
      </c>
      <c r="E109" s="26" t="s">
        <v>523</v>
      </c>
      <c r="F109" s="41">
        <v>1502.66</v>
      </c>
      <c r="G109" s="31" t="s">
        <v>524</v>
      </c>
      <c r="H109" s="87"/>
      <c r="I109" s="87"/>
      <c r="J109" s="87"/>
      <c r="K109" s="87"/>
      <c r="L109" s="27" t="str">
        <f>IF(Tabela8[[#This Row],[N° SC]]&gt;1,"SIM","NÃO")</f>
        <v>SIM</v>
      </c>
      <c r="M109" s="36" t="s">
        <v>53</v>
      </c>
      <c r="N109" s="37" t="s">
        <v>53</v>
      </c>
      <c r="O109" s="37" t="s">
        <v>54</v>
      </c>
      <c r="P109" s="37" t="s">
        <v>53</v>
      </c>
      <c r="Q109" s="36"/>
      <c r="R109" s="38"/>
      <c r="S109" s="38" t="s">
        <v>508</v>
      </c>
      <c r="T109" s="36" t="s">
        <v>125</v>
      </c>
      <c r="U109" s="38"/>
      <c r="V109" s="36">
        <v>4.0599999999999996</v>
      </c>
      <c r="W109" s="36">
        <f>Tabela8[[#This Row],[PESO LIQ. (KG)]]+0.5</f>
        <v>4.5599999999999996</v>
      </c>
      <c r="X109" s="39">
        <f t="shared" si="9"/>
        <v>1502.66</v>
      </c>
      <c r="Y109" s="40">
        <f t="shared" si="8"/>
        <v>292.92</v>
      </c>
    </row>
    <row r="110" spans="1:25" ht="38.25" x14ac:dyDescent="0.2">
      <c r="A110" s="55" t="s">
        <v>525</v>
      </c>
      <c r="B110" s="56" t="s">
        <v>526</v>
      </c>
      <c r="C110" s="26">
        <v>9396</v>
      </c>
      <c r="D110" s="57" t="s">
        <v>527</v>
      </c>
      <c r="E110" s="29" t="s">
        <v>528</v>
      </c>
      <c r="F110" s="41">
        <v>1337.16</v>
      </c>
      <c r="G110" s="31" t="s">
        <v>524</v>
      </c>
      <c r="H110" s="87"/>
      <c r="I110" s="87"/>
      <c r="J110" s="87"/>
      <c r="K110" s="87"/>
      <c r="L110" s="27" t="str">
        <f>IF(Tabela8[[#This Row],[N° SC]]&gt;1,"SIM","NÃO")</f>
        <v>SIM</v>
      </c>
      <c r="M110" s="36" t="s">
        <v>53</v>
      </c>
      <c r="N110" s="37" t="s">
        <v>53</v>
      </c>
      <c r="O110" s="37" t="s">
        <v>54</v>
      </c>
      <c r="P110" s="37" t="s">
        <v>53</v>
      </c>
      <c r="Q110" s="36"/>
      <c r="R110" s="38"/>
      <c r="S110" s="38" t="s">
        <v>508</v>
      </c>
      <c r="T110" s="36" t="s">
        <v>125</v>
      </c>
      <c r="U110" s="38"/>
      <c r="V110" s="36">
        <v>2.2999999999999998</v>
      </c>
      <c r="W110" s="36">
        <f>Tabela8[[#This Row],[PESO LIQ. (KG)]]+0.5</f>
        <v>2.8</v>
      </c>
      <c r="X110" s="39">
        <f t="shared" si="9"/>
        <v>1337.16</v>
      </c>
      <c r="Y110" s="40">
        <f t="shared" si="8"/>
        <v>260.65999999999997</v>
      </c>
    </row>
    <row r="111" spans="1:25" ht="25.5" x14ac:dyDescent="0.2">
      <c r="A111" s="55" t="s">
        <v>529</v>
      </c>
      <c r="B111" s="56" t="s">
        <v>530</v>
      </c>
      <c r="C111" s="26">
        <v>9397</v>
      </c>
      <c r="D111" s="57" t="s">
        <v>531</v>
      </c>
      <c r="E111" s="29">
        <v>6608114555</v>
      </c>
      <c r="F111" s="41">
        <v>467.5</v>
      </c>
      <c r="G111" s="31" t="s">
        <v>524</v>
      </c>
      <c r="H111" s="87"/>
      <c r="I111" s="87"/>
      <c r="J111" s="87"/>
      <c r="K111" s="87"/>
      <c r="L111" s="27" t="str">
        <f>IF(Tabela8[[#This Row],[N° SC]]&gt;1,"SIM","NÃO")</f>
        <v>SIM</v>
      </c>
      <c r="M111" s="36" t="s">
        <v>53</v>
      </c>
      <c r="N111" s="37" t="s">
        <v>53</v>
      </c>
      <c r="O111" s="37" t="s">
        <v>54</v>
      </c>
      <c r="P111" s="37" t="s">
        <v>53</v>
      </c>
      <c r="Q111" s="36"/>
      <c r="R111" s="38"/>
      <c r="S111" s="38" t="s">
        <v>508</v>
      </c>
      <c r="T111" s="36" t="s">
        <v>125</v>
      </c>
      <c r="U111" s="38"/>
      <c r="V111" s="36">
        <v>3.73</v>
      </c>
      <c r="W111" s="36">
        <f>Tabela8[[#This Row],[PESO LIQ. (KG)]]+0.5</f>
        <v>4.2300000000000004</v>
      </c>
      <c r="X111" s="39">
        <f t="shared" si="9"/>
        <v>467.5</v>
      </c>
      <c r="Y111" s="40">
        <f t="shared" si="8"/>
        <v>91.14</v>
      </c>
    </row>
    <row r="112" spans="1:25" ht="25.5" x14ac:dyDescent="0.2">
      <c r="A112" s="55" t="s">
        <v>532</v>
      </c>
      <c r="B112" s="56" t="s">
        <v>533</v>
      </c>
      <c r="C112" s="26">
        <v>9398</v>
      </c>
      <c r="D112" s="57" t="s">
        <v>534</v>
      </c>
      <c r="E112" s="29">
        <v>6608114547</v>
      </c>
      <c r="F112" s="41">
        <v>495.38</v>
      </c>
      <c r="G112" s="31" t="s">
        <v>524</v>
      </c>
      <c r="H112" s="87"/>
      <c r="I112" s="87"/>
      <c r="J112" s="87"/>
      <c r="K112" s="87"/>
      <c r="L112" s="27" t="str">
        <f>IF(Tabela8[[#This Row],[N° SC]]&gt;1,"SIM","NÃO")</f>
        <v>SIM</v>
      </c>
      <c r="M112" s="36" t="s">
        <v>53</v>
      </c>
      <c r="N112" s="37" t="s">
        <v>54</v>
      </c>
      <c r="O112" s="37" t="s">
        <v>54</v>
      </c>
      <c r="P112" s="37" t="s">
        <v>53</v>
      </c>
      <c r="Q112" s="36"/>
      <c r="R112" s="38"/>
      <c r="S112" s="38" t="s">
        <v>508</v>
      </c>
      <c r="T112" s="36" t="s">
        <v>125</v>
      </c>
      <c r="U112" s="38"/>
      <c r="V112" s="36">
        <v>3.93</v>
      </c>
      <c r="W112" s="36">
        <f>Tabela8[[#This Row],[PESO LIQ. (KG)]]+0.5</f>
        <v>4.43</v>
      </c>
      <c r="X112" s="39">
        <f t="shared" si="9"/>
        <v>495.38</v>
      </c>
      <c r="Y112" s="40">
        <f t="shared" si="8"/>
        <v>96.570000000000007</v>
      </c>
    </row>
    <row r="113" spans="1:25" ht="38.25" x14ac:dyDescent="0.2">
      <c r="A113" s="82" t="s">
        <v>535</v>
      </c>
      <c r="B113" s="83" t="s">
        <v>536</v>
      </c>
      <c r="C113" s="91" t="s">
        <v>537</v>
      </c>
      <c r="D113" s="84" t="s">
        <v>538</v>
      </c>
      <c r="E113" s="85" t="s">
        <v>539</v>
      </c>
      <c r="F113" s="100">
        <v>332.93</v>
      </c>
      <c r="G113" s="102" t="s">
        <v>540</v>
      </c>
      <c r="H113" s="87" t="s">
        <v>52</v>
      </c>
      <c r="I113" s="87"/>
      <c r="J113" s="87"/>
      <c r="K113" s="87"/>
      <c r="L113" s="92" t="str">
        <f>IF(Tabela8[[#This Row],[N° SC]]&gt;1,"SIM","NÃO")</f>
        <v>SIM</v>
      </c>
      <c r="M113" s="88" t="s">
        <v>54</v>
      </c>
      <c r="N113" s="101" t="s">
        <v>54</v>
      </c>
      <c r="O113" s="101" t="s">
        <v>54</v>
      </c>
      <c r="P113" s="101" t="s">
        <v>54</v>
      </c>
      <c r="Q113" s="88"/>
      <c r="R113" s="95"/>
      <c r="S113" s="95"/>
      <c r="T113" s="88"/>
      <c r="U113" s="95"/>
      <c r="V113" s="88"/>
      <c r="W113" s="88"/>
      <c r="X113" s="89">
        <f t="shared" si="9"/>
        <v>332.93</v>
      </c>
      <c r="Y113" s="90">
        <f t="shared" si="8"/>
        <v>64.900000000000006</v>
      </c>
    </row>
    <row r="114" spans="1:25" ht="38.25" x14ac:dyDescent="0.2">
      <c r="A114" s="82" t="s">
        <v>541</v>
      </c>
      <c r="B114" s="83" t="s">
        <v>542</v>
      </c>
      <c r="C114" s="91"/>
      <c r="D114" s="84" t="s">
        <v>543</v>
      </c>
      <c r="E114" s="85" t="s">
        <v>52</v>
      </c>
      <c r="F114" s="100">
        <v>990</v>
      </c>
      <c r="G114" s="99" t="s">
        <v>544</v>
      </c>
      <c r="H114" s="87"/>
      <c r="I114" s="87"/>
      <c r="J114" s="87"/>
      <c r="K114" s="87"/>
      <c r="L114" s="92" t="str">
        <f>IF(Tabela8[[#This Row],[N° SC]]&gt;1,"SIM","NÃO")</f>
        <v>NÃO</v>
      </c>
      <c r="M114" s="88" t="s">
        <v>54</v>
      </c>
      <c r="N114" s="101" t="s">
        <v>54</v>
      </c>
      <c r="O114" s="101" t="s">
        <v>54</v>
      </c>
      <c r="P114" s="101" t="s">
        <v>54</v>
      </c>
      <c r="Q114" s="88"/>
      <c r="R114" s="95"/>
      <c r="S114" s="95"/>
      <c r="T114" s="88"/>
      <c r="U114" s="95"/>
      <c r="V114" s="88"/>
      <c r="W114" s="88"/>
      <c r="X114" s="89">
        <f t="shared" si="9"/>
        <v>990</v>
      </c>
      <c r="Y114" s="90">
        <f t="shared" si="8"/>
        <v>192.98999999999998</v>
      </c>
    </row>
    <row r="115" spans="1:25" ht="38.25" x14ac:dyDescent="0.2">
      <c r="A115" s="103" t="s">
        <v>545</v>
      </c>
      <c r="B115" s="104" t="s">
        <v>546</v>
      </c>
      <c r="C115" s="105"/>
      <c r="D115" s="106" t="s">
        <v>547</v>
      </c>
      <c r="E115" s="107" t="s">
        <v>52</v>
      </c>
      <c r="F115" s="100">
        <v>400</v>
      </c>
      <c r="G115" s="99" t="s">
        <v>544</v>
      </c>
      <c r="H115" s="87"/>
      <c r="I115" s="87"/>
      <c r="J115" s="87"/>
      <c r="K115" s="87"/>
      <c r="L115" s="92" t="str">
        <f>IF(Tabela8[[#This Row],[N° SC]]&gt;1,"SIM","NÃO")</f>
        <v>NÃO</v>
      </c>
      <c r="M115" s="108" t="s">
        <v>54</v>
      </c>
      <c r="N115" s="101" t="s">
        <v>54</v>
      </c>
      <c r="O115" s="101" t="s">
        <v>54</v>
      </c>
      <c r="P115" s="101" t="s">
        <v>54</v>
      </c>
      <c r="Q115" s="108"/>
      <c r="R115" s="109"/>
      <c r="S115" s="109"/>
      <c r="T115" s="108"/>
      <c r="U115" s="109"/>
      <c r="V115" s="108"/>
      <c r="W115" s="108"/>
      <c r="X115" s="110">
        <f t="shared" si="9"/>
        <v>400</v>
      </c>
      <c r="Y115" s="111">
        <f t="shared" si="8"/>
        <v>77.98</v>
      </c>
    </row>
    <row r="116" spans="1:25" ht="25.5" x14ac:dyDescent="0.2">
      <c r="A116" s="112" t="s">
        <v>548</v>
      </c>
      <c r="B116" s="113" t="s">
        <v>549</v>
      </c>
      <c r="C116" s="114">
        <v>9490</v>
      </c>
      <c r="D116" s="57" t="s">
        <v>550</v>
      </c>
      <c r="E116" s="115">
        <v>6608006503</v>
      </c>
      <c r="F116" s="41">
        <v>940</v>
      </c>
      <c r="G116" s="116" t="s">
        <v>524</v>
      </c>
      <c r="H116" s="87"/>
      <c r="I116" s="87"/>
      <c r="J116" s="87"/>
      <c r="K116" s="87"/>
      <c r="L116" s="27" t="str">
        <f>IF(Tabela8[[#This Row],[N° SC]]&gt;1,"SIM","NÃO")</f>
        <v>SIM</v>
      </c>
      <c r="M116" s="117" t="s">
        <v>53</v>
      </c>
      <c r="N116" s="37" t="s">
        <v>54</v>
      </c>
      <c r="O116" s="37" t="s">
        <v>54</v>
      </c>
      <c r="P116" s="37" t="s">
        <v>53</v>
      </c>
      <c r="Q116" s="117"/>
      <c r="R116" s="118"/>
      <c r="S116" s="38" t="s">
        <v>508</v>
      </c>
      <c r="T116" s="36" t="s">
        <v>125</v>
      </c>
      <c r="U116" s="118"/>
      <c r="V116" s="117">
        <v>5.14</v>
      </c>
      <c r="W116" s="36">
        <f>Tabela8[[#This Row],[PESO LIQ. (KG)]]+0.5</f>
        <v>5.64</v>
      </c>
      <c r="X116" s="119">
        <f t="shared" si="9"/>
        <v>940</v>
      </c>
      <c r="Y116" s="120">
        <f t="shared" si="8"/>
        <v>183.23999999999998</v>
      </c>
    </row>
    <row r="117" spans="1:25" ht="38.25" customHeight="1" x14ac:dyDescent="0.2">
      <c r="A117" s="112" t="s">
        <v>551</v>
      </c>
      <c r="B117" s="113" t="s">
        <v>552</v>
      </c>
      <c r="C117" s="114">
        <v>9491</v>
      </c>
      <c r="D117" s="121" t="s">
        <v>553</v>
      </c>
      <c r="E117" s="115">
        <v>6608007606</v>
      </c>
      <c r="F117" s="41">
        <v>990</v>
      </c>
      <c r="G117" s="116" t="s">
        <v>524</v>
      </c>
      <c r="H117" s="87"/>
      <c r="I117" s="87"/>
      <c r="J117" s="87"/>
      <c r="K117" s="87"/>
      <c r="L117" s="27" t="str">
        <f>IF(Tabela8[[#This Row],[N° SC]]&gt;1,"SIM","NÃO")</f>
        <v>SIM</v>
      </c>
      <c r="M117" s="117" t="s">
        <v>53</v>
      </c>
      <c r="N117" s="37" t="s">
        <v>53</v>
      </c>
      <c r="O117" s="37" t="s">
        <v>54</v>
      </c>
      <c r="P117" s="37" t="s">
        <v>53</v>
      </c>
      <c r="Q117" s="117"/>
      <c r="R117" s="118"/>
      <c r="S117" s="38" t="s">
        <v>508</v>
      </c>
      <c r="T117" s="36" t="s">
        <v>125</v>
      </c>
      <c r="U117" s="118"/>
      <c r="V117" s="117">
        <v>2.0499999999999998</v>
      </c>
      <c r="W117" s="36">
        <f>Tabela8[[#This Row],[PESO LIQ. (KG)]]+0.5</f>
        <v>2.5499999999999998</v>
      </c>
      <c r="X117" s="119">
        <f t="shared" si="9"/>
        <v>990</v>
      </c>
      <c r="Y117" s="120">
        <f t="shared" si="8"/>
        <v>192.98999999999998</v>
      </c>
    </row>
    <row r="118" spans="1:25" ht="51" x14ac:dyDescent="0.2">
      <c r="A118" s="103" t="s">
        <v>554</v>
      </c>
      <c r="B118" s="104" t="s">
        <v>555</v>
      </c>
      <c r="C118" s="105">
        <v>9471</v>
      </c>
      <c r="D118" s="106" t="s">
        <v>556</v>
      </c>
      <c r="E118" s="107" t="s">
        <v>557</v>
      </c>
      <c r="F118" s="100">
        <v>514.07000000000005</v>
      </c>
      <c r="G118" s="99" t="s">
        <v>558</v>
      </c>
      <c r="H118" s="92"/>
      <c r="I118" s="108"/>
      <c r="J118" s="101"/>
      <c r="K118" s="101"/>
      <c r="L118" s="92" t="str">
        <f>IF(Tabela8[[#This Row],[N° SC]]&gt;1,"SIM","NÃO")</f>
        <v>SIM</v>
      </c>
      <c r="M118" s="108" t="s">
        <v>53</v>
      </c>
      <c r="N118" s="109" t="s">
        <v>53</v>
      </c>
      <c r="O118" s="38" t="s">
        <v>53</v>
      </c>
      <c r="P118" s="36" t="s">
        <v>54</v>
      </c>
      <c r="Q118" s="109" t="s">
        <v>559</v>
      </c>
      <c r="R118" s="108"/>
      <c r="S118" s="108" t="s">
        <v>508</v>
      </c>
      <c r="T118" s="36" t="s">
        <v>125</v>
      </c>
      <c r="U118" s="111"/>
      <c r="V118" s="122"/>
      <c r="W118" s="122"/>
      <c r="X118" s="119">
        <f>IFERROR(SMALL(F118:J118,1),"-")</f>
        <v>514.07000000000005</v>
      </c>
      <c r="Y118" s="120">
        <f>ROUNDUP(X118/$Y$17,2)</f>
        <v>100.21000000000001</v>
      </c>
    </row>
  </sheetData>
  <dataConsolidate>
    <dataRefs count="1">
      <dataRef ref="A2:A49" sheet="LINHAS" r:id="rId1"/>
    </dataRefs>
  </dataConsolidate>
  <mergeCells count="10">
    <mergeCell ref="A11:B11"/>
    <mergeCell ref="A12:B12"/>
    <mergeCell ref="M13:O13"/>
    <mergeCell ref="M14:O14"/>
    <mergeCell ref="A4:X4"/>
    <mergeCell ref="A8:C8"/>
    <mergeCell ref="E8:F8"/>
    <mergeCell ref="L8:O8"/>
    <mergeCell ref="A9:B9"/>
    <mergeCell ref="A10:B10"/>
  </mergeCells>
  <conditionalFormatting sqref="A88">
    <cfRule type="duplicateValues" dxfId="42" priority="11"/>
  </conditionalFormatting>
  <conditionalFormatting sqref="B88">
    <cfRule type="duplicateValues" dxfId="41" priority="12"/>
  </conditionalFormatting>
  <conditionalFormatting sqref="A89">
    <cfRule type="duplicateValues" dxfId="40" priority="9"/>
  </conditionalFormatting>
  <conditionalFormatting sqref="B89">
    <cfRule type="duplicateValues" dxfId="39" priority="10"/>
  </conditionalFormatting>
  <conditionalFormatting sqref="A53:A61 A19:A31 A87 A63:A85 A33:A51">
    <cfRule type="duplicateValues" dxfId="38" priority="13"/>
  </conditionalFormatting>
  <conditionalFormatting sqref="B53:B61 B19:B31 B87 B63:B85 B33:B51">
    <cfRule type="duplicateValues" dxfId="37" priority="14"/>
  </conditionalFormatting>
  <conditionalFormatting sqref="A52">
    <cfRule type="duplicateValues" dxfId="36" priority="7"/>
  </conditionalFormatting>
  <conditionalFormatting sqref="B52">
    <cfRule type="duplicateValues" dxfId="35" priority="8"/>
  </conditionalFormatting>
  <conditionalFormatting sqref="A86">
    <cfRule type="duplicateValues" dxfId="34" priority="5"/>
  </conditionalFormatting>
  <conditionalFormatting sqref="B86">
    <cfRule type="duplicateValues" dxfId="33" priority="6"/>
  </conditionalFormatting>
  <conditionalFormatting sqref="A62">
    <cfRule type="duplicateValues" dxfId="32" priority="3"/>
  </conditionalFormatting>
  <conditionalFormatting sqref="B62">
    <cfRule type="duplicateValues" dxfId="31" priority="4"/>
  </conditionalFormatting>
  <conditionalFormatting sqref="A32">
    <cfRule type="duplicateValues" dxfId="30" priority="1"/>
  </conditionalFormatting>
  <conditionalFormatting sqref="B32">
    <cfRule type="duplicateValues" dxfId="29" priority="2"/>
  </conditionalFormatting>
  <dataValidations count="2">
    <dataValidation type="list" allowBlank="1" showInputMessage="1" showErrorMessage="1" sqref="U19:U118">
      <formula1>"VALIDADO,NÃO VALIDADO,-"</formula1>
    </dataValidation>
    <dataValidation type="list" allowBlank="1" showInputMessage="1" showErrorMessage="1" sqref="R78:R80 R88:R96 R39:R40 R69:R71 R59 R44:R45 R57 R64:R67 M58 R19:R26 R51 M19:M56 R30:R37 N19:P101 M60:M101 M102:P118">
      <formula1>"SIM,NÃO"</formula1>
    </dataValidation>
  </dataValidations>
  <hyperlinks>
    <hyperlink ref="G38" r:id="rId2" location="origin=touchable_link&amp;item_id=MLB3035268920"/>
    <hyperlink ref="I60" r:id="rId3" location="polycard_client=search-nordic&amp;search_layout=stack&amp;position=6&amp;type=product&amp;tracking_id=a7905fba-f312-4acd-a66f-dc6406144878&amp;wid=MLB5189761670&amp;sid=search"/>
    <hyperlink ref="G60" r:id="rId4"/>
    <hyperlink ref="I56" r:id="rId5" location="polycard_client=search-nordic&amp;search_layout=stack&amp;position=36&amp;type=product&amp;tracking_id=a84bef30-287f-48d7-9f8e-4b8ca1b59244&amp;wid=MLB2039467382&amp;sid=search"/>
    <hyperlink ref="G56" r:id="rId6" location="polycard_client=search-nordic&amp;search_layout=stack&amp;position=49&amp;type=product&amp;tracking_id=a84bef30-287f-48d7-9f8e-4b8ca1b59244&amp;wid=MLB4998373466&amp;sid=search"/>
    <hyperlink ref="K56" r:id="rId7" location="polycard_client=search-nordic&amp;search_layout=stack&amp;position=35&amp;type=product&amp;tracking_id=a84bef30-287f-48d7-9f8e-4b8ca1b59244&amp;wid=MLB3068300106&amp;sid=search"/>
    <hyperlink ref="G44" display="https://www.mercadolivre.com.br/amortecedor-dianteiro-traseiro-vw-delivery-9170-2018-a-2023/up/MLBU3257138915#polycard_client=search-nordic&amp;search_layout=stack&amp;position=40&amp;type=product&amp;tracking_id=322ac556-136e-4168-a849-7fddedda3ac1&amp;wid=MLB4106705075&amp;sid"/>
    <hyperlink ref="I44" display="https://www.mercadolivre.com.br/amortecedor-dianteiro-traseiro-vw-delivery-9170-2018-a-2023/up/MLBU3262877344#polycard_client=search-nordic&amp;search_layout=stack&amp;position=47&amp;type=product&amp;tracking_id=322ac556-136e-4168-a849-7fddedda3ac1&amp;wid=MLB4106768849&amp;sid"/>
    <hyperlink ref="K44" display="https://www.mercadolivre.com.br/amortecedor-dianteiro-traseiro-vw-delivery-11180-2018-a-2023/up/MLBU3257130743#polycard_client=search-nordic&amp;search_layout=stack&amp;position=43&amp;type=product&amp;tracking_id=322ac556-136e-4168-a849-7fddedda3ac1&amp;wid=MLB4106795147&amp;si"/>
    <hyperlink ref="G45" r:id="rId8" location="polycard_client=search-nordic&amp;search_layout=stack&amp;position=2&amp;type=product&amp;tracking_id=c2711c85-c1be-4ec6-adc8-6ed3ca0720c8&amp;wid=MLB2679772621&amp;sid=search"/>
    <hyperlink ref="I45" display="https://www.mercadolivre.com.br/amortecedor-traseiro-volkswagen-express-delivery-cofap/up/MLBU1108332489#polycard_client=search-nordic&amp;search_layout=stack&amp;position=6&amp;type=product&amp;tracking_id=c2711c85-c1be-4ec6-adc8-6ed3ca0720c8&amp;wid=MLB2679772572&amp;sid=searc"/>
    <hyperlink ref="K45" display="https://www.mercadolivre.com.br/amortecedor-traseiro-volkswagen-express-delivery-cofap/up/MLBU1431142721#polycard_client=search-nordic&amp;search_layout=stack&amp;position=1&amp;type=product&amp;tracking_id=c2711c85-c1be-4ec6-adc8-6ed3ca0720c8&amp;wid=MLB2990592507&amp;sid=searc"/>
    <hyperlink ref="G46" display="https://www.mercadolivre.com.br/amortecedor-dianteiro-lado-esquerdo-6160-delivery-express/up/MLBU774052109#polycard_client=search-nordic&amp;search_layout=stack&amp;position=13&amp;type=product&amp;tracking_id=7ed98dd4-c618-4a42-8850-ac143f206503&amp;wid=MLB3911546328&amp;sid=se"/>
    <hyperlink ref="I46" r:id="rId9" location="polycard_client=search-nordic&amp;search_layout=stack&amp;position=36&amp;type=product&amp;tracking_id=7ed98dd4-c618-4a42-8850-ac143f206503&amp;wid=MLB4199288078&amp;sid=search"/>
    <hyperlink ref="K46" display="https://www.mercadolivre.com.br/amortecedor-de-suspensao-dian--esqu-vw-delivery-2017-a-2024/up/MLBU3092222447#polycard_client=search-nordic&amp;search_layout=stack&amp;position=42&amp;type=product&amp;tracking_id=7ed98dd4-c618-4a42-8850-ac143f206503&amp;wid=MLB4016827355&amp;sid"/>
    <hyperlink ref="G83" r:id="rId10" location="polycard_client=search-desktop&amp;search_layout=grid&amp;position=4&amp;type=product&amp;tracking_id=62e6ee01-b417-4573-95d8-728278219643&amp;wid=MLB3905684959&amp;sid=search"/>
    <hyperlink ref="G85" display="https://www.mercadolivre.com.br/20878633-amortecedor-suspensao-traseira-volvo--original-/up/MLBU3022541308#polycard_client=search-desktop&amp;search_layout=grid&amp;position=1&amp;type=product&amp;tracking_id=c4701935-ef64-4ab6-88b5-fe2424f32092&amp;wid=MLB3978979515&amp;sid=sea"/>
    <hyperlink ref="G84" r:id="rId11"/>
    <hyperlink ref="G27" r:id="rId12" location="polycard_client=search-desktop&amp;search_layout=grid&amp;position=2&amp;type=product&amp;tracking_id=6dd8e0f1-120a-4707-9149-583374308393&amp;wid=MLB3634067083&amp;sid=search"/>
    <hyperlink ref="I27" r:id="rId13" location="polycard_client=search-desktop&amp;search_layout=grid&amp;position=3&amp;type=product&amp;tracking_id=6dd8e0f1-120a-4707-9149-583374308393&amp;wid=MLB5266522292&amp;sid=search"/>
    <hyperlink ref="K27" r:id="rId14" location="polycard_client=search-desktop&amp;search_layout=grid&amp;position=4&amp;type=product&amp;tracking_id=6dd8e0f1-120a-4707-9149-583374308393&amp;wid=MLB3833519837&amp;sid=search"/>
    <hyperlink ref="G29" display="https://www.mercadolivre.com.br/amortecedor-dianteiro-ford-cargo-2429-2012-a-2019-6x2/up/MLBU3250239111#polycard_client=search-desktop&amp;search_layout=grid&amp;position=10&amp;type=product&amp;tracking_id=841dae23-3ef1-484f-8080-0077a54e5234&amp;wid=MLB4103010557&amp;sid=searc"/>
    <hyperlink ref="K29" display="https://www.mercadolivre.com.br/amortecedor-diant-cargo-1317-1723-1729-2423-2429-unidade/up/MLBU3867150049#polycard_client=search-desktop&amp;search_layout=grid&amp;position=8&amp;type=product&amp;tracking_id=841dae23-3ef1-484f-8080-0077a54e5234&amp;wid=MLB6538839146&amp;sid=sea"/>
    <hyperlink ref="I35" display="https://www.mercadolivre.com.br/amortecedor-direito-cofap-honda-hrv-advance-2022-a-2026/up/MLBU3192868178#polycard_client=search-nordic&amp;searchVariation=MLBU3192868178&amp;wid=MLB4070986209&amp;position=8&amp;search_layout=stack&amp;type=product&amp;tracking_id=57dda5f0-e4a9-"/>
    <hyperlink ref="G71" display="https://www.mercadolivre.com.br/amortecedor-dianteiro-esquerdo-cofap-stonic-10-2022-2023/up/MLBU3191877510#polycard_client=search-desktop&amp;search_layout=grid&amp;position=3&amp;type=product&amp;tracking_id=74342fdb-2a2a-49ab-9c7a-324ece22d534&amp;wid=MLB5399166266&amp;sid=sea"/>
    <hyperlink ref="I39" r:id="rId15" location="polycard_client=search-desktop&amp;search_layout=grid&amp;position=2&amp;type=product&amp;tracking_id=54c73c23-0009-4345-a459-36de1a671649&amp;wid=MLB6093784178&amp;sid=search"/>
    <hyperlink ref="G72" r:id="rId16" display="https://mercadocar.com.br/amortecedor-de-suspensao-traseiro-kia-motors-stonic-cofap-gb48476"/>
    <hyperlink ref="G79" r:id="rId17"/>
    <hyperlink ref="G77" display="https://www.mercadolivre.com.br/1-amortecedor-diant-mitsubish-l200-outdoor-0711-b47885-cof/up/MLBU1142092377#polycard_client=search-desktop&amp;search_layout=stack&amp;position=49&amp;type=product&amp;tracking_id=6f142c88-e1b8-4ac7-8e93-86a9420e9b15&amp;wid=MLB3615816402&amp;sid"/>
    <hyperlink ref="G87" display="https://www.mercadolivre.com.br/amortecedor-dianteiro-volvo-vm-260--270--2006-a-2022-cofap/up/MLBU770497174?pdp_filters=item_id:MLB3681040273#is_advertising=true&amp;searchVariation=MLBU770497174&amp;backend_model=search-backend&amp;be_origin=backend&amp;position=1&amp;searc"/>
    <hyperlink ref="G97" display="https://www.mercadolivre.com.br/amortecedor-traseiro-rampage-rt-20-turbo-2023-cofap/up/MLBU3858693484#polycard_client=search-desktop&amp;be_origin=backend&amp;search_layout=grid&amp;position=7&amp;type=product&amp;tracking_id=d5e2725d-b21f-4cde-a15c-504f8bc8bfe4&amp;wid=MLB64829"/>
    <hyperlink ref="G53" display="https://produto.mercadolivre.com.br/MLB-4428121401-amortecedor-dianteiro-para-gm-vectra-gsi-16v-1994-a-1996-_JM#polycard_client=search-desktop&amp;be_origin=backend&amp;search_layout=grid&amp;position=11&amp;type=item&amp;tracking_id=65d1c1df-c9ce-41ff-9925-d7f352de9925&amp;wid="/>
    <hyperlink ref="I104" display="https://www.mercadolivre.com.br/amortecedor-dianteiro-bmw-320i-330i-g20-2019-2020-2021-lado/up/MLBU3900485445#polycard_client=search-desktop&amp;be_origin=backend&amp;overlay_label=not_apply&amp;search_layout=stack&amp;position=5&amp;type=product&amp;tracking_id=d9ae6122-72ef-4e"/>
    <hyperlink ref="G104" r:id="rId18"/>
    <hyperlink ref="G113" display="https://www.mercadolivre.com.br/amortecedor-dianteiro-diresq-nakata-paratigol-1994-a-2008/up/MLBU4111130703#polycard_client=search-desktop&amp;be_origin=backend&amp;overlay_label=not_apply&amp;search_layout=grid&amp;position=9&amp;type=product&amp;tracking_id=58dc62bc-be1e-4ba0-"/>
  </hyperlinks>
  <pageMargins left="0.7" right="0.7" top="0.75" bottom="0.75" header="0.3" footer="0.3"/>
  <pageSetup paperSize="9" orientation="portrait" r:id="rId19"/>
  <drawing r:id="rId20"/>
  <tableParts count="1">
    <tablePart r:id="rId2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[1]MÊS!#REF!</xm:f>
          </x14:formula1>
          <xm:sqref>S19:S118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2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Compra Amostra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Freire Cuellas</dc:creator>
  <cp:lastModifiedBy>Italo Freire Cuellas</cp:lastModifiedBy>
  <dcterms:created xsi:type="dcterms:W3CDTF">2026-10-19T11:56:31Z</dcterms:created>
  <dcterms:modified xsi:type="dcterms:W3CDTF">2026-10-19T11:57:19Z</dcterms:modified>
</cp:coreProperties>
</file>